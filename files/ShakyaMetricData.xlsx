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App-teaching\2025-FALL\4720-AppliedEconometrics\"/>
    </mc:Choice>
  </mc:AlternateContent>
  <xr:revisionPtr revIDLastSave="0" documentId="13_ncr:1_{2B97E774-47D3-48D0-BD16-24F76EE4D2FD}" xr6:coauthVersionLast="47" xr6:coauthVersionMax="47" xr10:uidLastSave="{00000000-0000-0000-0000-000000000000}"/>
  <bookViews>
    <workbookView xWindow="14295" yWindow="0" windowWidth="14610" windowHeight="15585" firstSheet="17" activeTab="21" xr2:uid="{D057FD4A-E750-4D4E-A5CD-8792E9BD1924}"/>
  </bookViews>
  <sheets>
    <sheet name="newhomes" sheetId="1" r:id="rId1"/>
    <sheet name="assessed" sheetId="2" r:id="rId2"/>
    <sheet name="mountainbike" sheetId="3" r:id="rId3"/>
    <sheet name="birthratecountry" sheetId="4" r:id="rId4"/>
    <sheet name="bodyfat" sheetId="5" r:id="rId5"/>
    <sheet name="buglary" sheetId="6" r:id="rId6"/>
    <sheet name="cartheft" sheetId="7" r:id="rId7"/>
    <sheet name="cardata" sheetId="8" r:id="rId8"/>
    <sheet name="graduation" sheetId="9" r:id="rId9"/>
    <sheet name="cruise" sheetId="10" r:id="rId10"/>
    <sheet name="flood" sheetId="11" r:id="rId11"/>
    <sheet name="foreclosure" sheetId="12" r:id="rId12"/>
    <sheet name="lcdtv" sheetId="13" r:id="rId13"/>
    <sheet name="drugprice" sheetId="14" r:id="rId14"/>
    <sheet name="fuel" sheetId="15" r:id="rId15"/>
    <sheet name="moneysupply" sheetId="16" r:id="rId16"/>
    <sheet name="nfl" sheetId="17" r:id="rId17"/>
    <sheet name="apple" sheetId="18" r:id="rId18"/>
    <sheet name="guest" sheetId="19" r:id="rId19"/>
    <sheet name="salary" sheetId="20" r:id="rId20"/>
    <sheet name="sentencing" sheetId="21" r:id="rId21"/>
    <sheet name="vehicles" sheetId="2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8" i="22" l="1"/>
  <c r="E637" i="22"/>
  <c r="E636" i="22"/>
  <c r="E635" i="22"/>
  <c r="E634" i="22"/>
  <c r="E633" i="22"/>
  <c r="E632" i="22"/>
  <c r="E631" i="22"/>
  <c r="E630" i="22"/>
  <c r="E629" i="22"/>
  <c r="E628" i="22"/>
  <c r="E627" i="22"/>
  <c r="E626" i="22"/>
  <c r="E625" i="22"/>
  <c r="E624" i="22"/>
  <c r="E623" i="22"/>
  <c r="E622" i="22"/>
  <c r="E621" i="22"/>
  <c r="E620" i="22"/>
  <c r="E619" i="22"/>
  <c r="E618" i="22"/>
  <c r="E617" i="22"/>
  <c r="E616" i="22"/>
  <c r="E615" i="22"/>
  <c r="E614" i="22"/>
  <c r="E613" i="22"/>
  <c r="E612" i="22"/>
  <c r="E611" i="22"/>
  <c r="E610" i="22"/>
  <c r="E609" i="22"/>
  <c r="E608" i="22"/>
  <c r="E607" i="22"/>
  <c r="E606" i="22"/>
  <c r="E605" i="22"/>
  <c r="E604" i="22"/>
  <c r="E603" i="22"/>
  <c r="E602" i="22"/>
  <c r="E601" i="22"/>
  <c r="E600" i="22"/>
  <c r="E599" i="22"/>
  <c r="E598" i="22"/>
  <c r="E597" i="22"/>
  <c r="E596" i="22"/>
  <c r="E595" i="22"/>
  <c r="E594" i="22"/>
  <c r="E593" i="22"/>
  <c r="E592" i="22"/>
  <c r="E591" i="22"/>
  <c r="E590" i="22"/>
  <c r="E589" i="22"/>
  <c r="E588" i="22"/>
  <c r="E587" i="22"/>
  <c r="E586" i="22"/>
  <c r="E585" i="22"/>
  <c r="E584" i="22"/>
  <c r="E583" i="22"/>
  <c r="E582" i="22"/>
  <c r="E581" i="22"/>
  <c r="E580" i="22"/>
  <c r="E579" i="22"/>
  <c r="E578" i="22"/>
  <c r="E577" i="22"/>
  <c r="E576" i="22"/>
  <c r="E575" i="22"/>
  <c r="E574" i="22"/>
  <c r="E573" i="22"/>
  <c r="E572" i="22"/>
  <c r="E571" i="22"/>
  <c r="E570" i="22"/>
  <c r="E569" i="22"/>
  <c r="E568" i="22"/>
  <c r="E567" i="22"/>
  <c r="E566" i="22"/>
  <c r="E565" i="22"/>
  <c r="E564" i="22"/>
  <c r="E563" i="22"/>
  <c r="E562" i="22"/>
  <c r="E561" i="22"/>
  <c r="E560" i="22"/>
  <c r="E559" i="22"/>
  <c r="E558" i="22"/>
  <c r="E557" i="22"/>
  <c r="E556" i="22"/>
  <c r="E555" i="22"/>
  <c r="E554" i="22"/>
  <c r="E553" i="22"/>
  <c r="E552" i="22"/>
  <c r="E551" i="22"/>
  <c r="E550" i="22"/>
  <c r="E549" i="22"/>
  <c r="E548" i="22"/>
  <c r="E547" i="22"/>
  <c r="E546" i="22"/>
  <c r="E545" i="22"/>
  <c r="E544" i="22"/>
  <c r="E543" i="22"/>
  <c r="E542" i="22"/>
  <c r="E541" i="22"/>
  <c r="E540" i="22"/>
  <c r="E539" i="22"/>
  <c r="E538" i="22"/>
  <c r="E537" i="22"/>
  <c r="E536" i="22"/>
  <c r="E535" i="22"/>
  <c r="E534" i="22"/>
  <c r="E533" i="22"/>
  <c r="E532" i="22"/>
  <c r="E531" i="22"/>
  <c r="E530" i="22"/>
  <c r="E529" i="22"/>
  <c r="E528" i="22"/>
  <c r="E527" i="22"/>
  <c r="E526" i="22"/>
  <c r="E525" i="22"/>
  <c r="E524" i="22"/>
  <c r="E523" i="22"/>
  <c r="E522" i="22"/>
  <c r="E521" i="22"/>
  <c r="E520" i="22"/>
  <c r="E519" i="22"/>
  <c r="E518" i="22"/>
  <c r="E517" i="22"/>
  <c r="E516" i="22"/>
  <c r="E515" i="22"/>
  <c r="E514" i="22"/>
  <c r="E513" i="22"/>
  <c r="E512" i="22"/>
  <c r="E511" i="22"/>
  <c r="E510" i="22"/>
  <c r="E509" i="22"/>
  <c r="E508" i="22"/>
  <c r="E507" i="22"/>
  <c r="E506" i="22"/>
  <c r="E505" i="22"/>
  <c r="E504" i="22"/>
  <c r="E503" i="22"/>
  <c r="E502" i="22"/>
  <c r="E501" i="22"/>
  <c r="E500" i="22"/>
  <c r="E499" i="22"/>
  <c r="E498" i="22"/>
  <c r="E497" i="22"/>
  <c r="E496" i="22"/>
  <c r="E495" i="22"/>
  <c r="E494" i="22"/>
  <c r="E493" i="22"/>
  <c r="E492" i="22"/>
  <c r="E491" i="22"/>
  <c r="E490" i="22"/>
  <c r="E489" i="22"/>
  <c r="E488" i="22"/>
  <c r="E487" i="22"/>
  <c r="E486" i="22"/>
  <c r="E485" i="22"/>
  <c r="E484" i="22"/>
  <c r="E483" i="22"/>
  <c r="E482" i="22"/>
  <c r="E481" i="22"/>
  <c r="E480" i="22"/>
  <c r="E479" i="22"/>
  <c r="E478" i="22"/>
  <c r="E477" i="22"/>
  <c r="E476" i="22"/>
  <c r="E475" i="22"/>
  <c r="E474" i="22"/>
  <c r="E473" i="22"/>
  <c r="E472" i="22"/>
  <c r="E471" i="22"/>
  <c r="E470" i="22"/>
  <c r="E469" i="22"/>
  <c r="E468" i="22"/>
  <c r="E467" i="22"/>
  <c r="E466" i="22"/>
  <c r="E465" i="22"/>
  <c r="E464" i="22"/>
  <c r="E463" i="22"/>
  <c r="E462" i="22"/>
  <c r="E461" i="22"/>
  <c r="E460" i="22"/>
  <c r="E459" i="22"/>
  <c r="E458" i="22"/>
  <c r="E457" i="22"/>
  <c r="E456" i="22"/>
  <c r="E455" i="22"/>
  <c r="E454" i="22"/>
  <c r="E453" i="22"/>
  <c r="E452" i="22"/>
  <c r="E451" i="22"/>
  <c r="E450" i="22"/>
  <c r="E449" i="22"/>
  <c r="E448" i="22"/>
  <c r="E447" i="22"/>
  <c r="E446" i="22"/>
  <c r="E445" i="22"/>
  <c r="E444" i="22"/>
  <c r="E443" i="22"/>
  <c r="E442" i="22"/>
  <c r="E441" i="22"/>
  <c r="E440" i="22"/>
  <c r="E439" i="22"/>
  <c r="E438" i="22"/>
  <c r="E437" i="22"/>
  <c r="E436" i="22"/>
  <c r="E435" i="22"/>
  <c r="E434" i="22"/>
  <c r="E433" i="22"/>
  <c r="E432" i="22"/>
  <c r="E431" i="22"/>
  <c r="E430" i="22"/>
  <c r="E429" i="22"/>
  <c r="E428" i="22"/>
  <c r="E427" i="22"/>
  <c r="E426" i="22"/>
  <c r="E425" i="22"/>
  <c r="E424" i="22"/>
  <c r="E423" i="22"/>
  <c r="E422" i="22"/>
  <c r="E421" i="22"/>
  <c r="E420" i="22"/>
  <c r="E419" i="22"/>
  <c r="E418" i="22"/>
  <c r="E417" i="22"/>
  <c r="E416" i="22"/>
  <c r="E415" i="22"/>
  <c r="E414" i="22"/>
  <c r="E413" i="22"/>
  <c r="E412" i="22"/>
  <c r="E411" i="22"/>
  <c r="E410" i="22"/>
  <c r="E409" i="22"/>
  <c r="E408" i="22"/>
  <c r="E407" i="22"/>
  <c r="E406" i="22"/>
  <c r="E405" i="22"/>
  <c r="E404" i="22"/>
  <c r="E403" i="22"/>
  <c r="E402" i="22"/>
  <c r="E401" i="22"/>
  <c r="E400" i="22"/>
  <c r="E399" i="22"/>
  <c r="E398" i="22"/>
  <c r="E397" i="22"/>
  <c r="E396" i="22"/>
  <c r="E395" i="22"/>
  <c r="E394" i="22"/>
  <c r="E393" i="22"/>
  <c r="E392" i="22"/>
  <c r="E391" i="22"/>
  <c r="E390" i="22"/>
  <c r="E389" i="22"/>
  <c r="E388" i="22"/>
  <c r="E387" i="22"/>
  <c r="E386" i="22"/>
  <c r="E385" i="22"/>
  <c r="E384" i="22"/>
  <c r="E383" i="22"/>
  <c r="E382" i="22"/>
  <c r="E381" i="22"/>
  <c r="E380" i="22"/>
  <c r="E379" i="22"/>
  <c r="E378" i="22"/>
  <c r="E377" i="22"/>
  <c r="E376" i="22"/>
  <c r="E375" i="22"/>
  <c r="E374" i="22"/>
  <c r="E373" i="22"/>
  <c r="E372" i="22"/>
  <c r="E371" i="22"/>
  <c r="E370" i="22"/>
  <c r="E369" i="22"/>
  <c r="E368" i="22"/>
  <c r="E367" i="22"/>
  <c r="E366" i="22"/>
  <c r="E365" i="22"/>
  <c r="E364" i="22"/>
  <c r="E363" i="22"/>
  <c r="E362" i="22"/>
  <c r="E361" i="22"/>
  <c r="E360" i="22"/>
  <c r="E359" i="22"/>
  <c r="E358" i="22"/>
  <c r="E357" i="22"/>
  <c r="E356" i="22"/>
  <c r="E355" i="22"/>
  <c r="E354" i="22"/>
  <c r="E353" i="22"/>
  <c r="E352" i="22"/>
  <c r="E351" i="22"/>
  <c r="E350" i="22"/>
  <c r="E349" i="22"/>
  <c r="E348" i="22"/>
  <c r="E347" i="22"/>
  <c r="E346" i="22"/>
  <c r="E345" i="22"/>
  <c r="E344" i="22"/>
  <c r="E343" i="22"/>
  <c r="E342" i="22"/>
  <c r="E341" i="22"/>
  <c r="E340" i="22"/>
  <c r="E339" i="22"/>
  <c r="E338" i="22"/>
  <c r="E337" i="22"/>
  <c r="E336" i="22"/>
  <c r="E335" i="22"/>
  <c r="E334" i="22"/>
  <c r="E333" i="22"/>
  <c r="E332" i="22"/>
  <c r="E331" i="22"/>
  <c r="E330" i="22"/>
  <c r="E329" i="22"/>
  <c r="E328" i="22"/>
  <c r="E327" i="22"/>
  <c r="E326" i="22"/>
  <c r="E325" i="22"/>
  <c r="E324" i="22"/>
  <c r="E323" i="22"/>
  <c r="E322" i="22"/>
  <c r="E321" i="22"/>
  <c r="E320" i="22"/>
  <c r="E319" i="22"/>
  <c r="E318" i="22"/>
  <c r="E317" i="22"/>
  <c r="E316" i="22"/>
  <c r="E315" i="22"/>
  <c r="E314" i="22"/>
  <c r="E313" i="22"/>
  <c r="E312" i="22"/>
  <c r="E311" i="22"/>
  <c r="E310" i="22"/>
  <c r="E309" i="22"/>
  <c r="E308" i="22"/>
  <c r="E307" i="22"/>
  <c r="E306" i="22"/>
  <c r="E305" i="22"/>
  <c r="E304" i="22"/>
  <c r="E303" i="22"/>
  <c r="E302" i="22"/>
  <c r="E301" i="22"/>
  <c r="E300" i="22"/>
  <c r="E299" i="22"/>
  <c r="E298" i="22"/>
  <c r="E297" i="22"/>
  <c r="E296" i="22"/>
  <c r="E295" i="22"/>
  <c r="E294" i="22"/>
  <c r="E293" i="22"/>
  <c r="E292" i="22"/>
  <c r="E291" i="22"/>
  <c r="E290" i="22"/>
  <c r="E289" i="22"/>
  <c r="E288" i="22"/>
  <c r="E287" i="22"/>
  <c r="E286" i="22"/>
  <c r="E285" i="22"/>
  <c r="E284" i="22"/>
  <c r="E283" i="22"/>
  <c r="E282" i="22"/>
  <c r="E281" i="22"/>
  <c r="E280" i="22"/>
  <c r="E279" i="22"/>
  <c r="E278" i="22"/>
  <c r="E277" i="22"/>
  <c r="E276" i="22"/>
  <c r="E275" i="22"/>
  <c r="E274" i="22"/>
  <c r="E273" i="22"/>
  <c r="E272" i="22"/>
  <c r="E271" i="22"/>
  <c r="E270" i="22"/>
  <c r="E269" i="22"/>
  <c r="E268" i="22"/>
  <c r="E267" i="22"/>
  <c r="E266" i="22"/>
  <c r="E265" i="22"/>
  <c r="E264" i="22"/>
  <c r="E263" i="22"/>
  <c r="E262" i="22"/>
  <c r="E261" i="22"/>
  <c r="E260" i="22"/>
  <c r="E259" i="22"/>
  <c r="E258" i="22"/>
  <c r="E257" i="22"/>
  <c r="E256" i="22"/>
  <c r="E255" i="22"/>
  <c r="E254" i="22"/>
  <c r="E253" i="22"/>
  <c r="E252" i="22"/>
  <c r="E251" i="22"/>
  <c r="E250" i="22"/>
  <c r="E249" i="22"/>
  <c r="E248" i="22"/>
  <c r="E247" i="22"/>
  <c r="E246" i="22"/>
  <c r="E245" i="22"/>
  <c r="E244" i="22"/>
  <c r="E243" i="22"/>
  <c r="E242" i="22"/>
  <c r="E241" i="22"/>
  <c r="E240" i="22"/>
  <c r="E239" i="22"/>
  <c r="E238" i="22"/>
  <c r="E237" i="22"/>
  <c r="E236" i="22"/>
  <c r="E235" i="22"/>
  <c r="E234" i="22"/>
  <c r="E233" i="22"/>
  <c r="E232" i="22"/>
  <c r="E231" i="22"/>
  <c r="E230" i="22"/>
  <c r="E229" i="22"/>
  <c r="E228" i="22"/>
  <c r="E227" i="22"/>
  <c r="E226" i="22"/>
  <c r="E225" i="22"/>
  <c r="E224" i="22"/>
  <c r="E223" i="22"/>
  <c r="E222" i="22"/>
  <c r="E221" i="22"/>
  <c r="E220" i="22"/>
  <c r="E219" i="22"/>
  <c r="E218" i="22"/>
  <c r="E217" i="22"/>
  <c r="E216" i="22"/>
  <c r="E215" i="22"/>
  <c r="E214" i="22"/>
  <c r="E213" i="22"/>
  <c r="E212" i="22"/>
  <c r="E211" i="22"/>
  <c r="E210" i="22"/>
  <c r="E209" i="22"/>
  <c r="E208" i="22"/>
  <c r="E207" i="22"/>
  <c r="E206" i="22"/>
  <c r="E205" i="22"/>
  <c r="E204" i="22"/>
  <c r="E203" i="22"/>
  <c r="E202" i="22"/>
  <c r="E201" i="22"/>
  <c r="E200" i="22"/>
  <c r="E199" i="22"/>
  <c r="E198" i="22"/>
  <c r="E197" i="22"/>
  <c r="E196" i="22"/>
  <c r="E195" i="22"/>
  <c r="E194" i="22"/>
  <c r="E193" i="22"/>
  <c r="E192" i="22"/>
  <c r="E191" i="22"/>
  <c r="E190" i="22"/>
  <c r="E189" i="22"/>
  <c r="E188" i="22"/>
  <c r="E187" i="22"/>
  <c r="E186" i="22"/>
  <c r="E185" i="22"/>
  <c r="E184" i="22"/>
  <c r="E183" i="22"/>
  <c r="E182" i="22"/>
  <c r="E181" i="22"/>
  <c r="E180" i="22"/>
  <c r="E179" i="22"/>
  <c r="E178" i="22"/>
  <c r="E177" i="22"/>
  <c r="E176" i="22"/>
  <c r="E175" i="22"/>
  <c r="E174" i="22"/>
  <c r="E173" i="22"/>
  <c r="E172" i="22"/>
  <c r="E171" i="22"/>
  <c r="E170" i="22"/>
  <c r="E169" i="22"/>
  <c r="E168" i="22"/>
  <c r="E167" i="22"/>
  <c r="E166" i="22"/>
  <c r="E165" i="22"/>
  <c r="E164" i="22"/>
  <c r="E163" i="22"/>
  <c r="E162" i="22"/>
  <c r="E161" i="22"/>
  <c r="E160" i="22"/>
  <c r="E159" i="22"/>
  <c r="E158" i="22"/>
  <c r="E157" i="22"/>
  <c r="E156" i="22"/>
  <c r="E155" i="22"/>
  <c r="E154" i="22"/>
  <c r="E153" i="22"/>
  <c r="E152" i="22"/>
  <c r="E151" i="22"/>
  <c r="E150" i="22"/>
  <c r="E149" i="22"/>
  <c r="E148" i="22"/>
  <c r="E147" i="22"/>
  <c r="E146" i="22"/>
  <c r="E145" i="22"/>
  <c r="E144" i="22"/>
  <c r="E143" i="22"/>
  <c r="E142" i="22"/>
  <c r="E141" i="22"/>
  <c r="E140" i="22"/>
  <c r="E139" i="22"/>
  <c r="E138" i="22"/>
  <c r="E137" i="22"/>
  <c r="E136" i="22"/>
  <c r="E135" i="22"/>
  <c r="E134" i="22"/>
  <c r="E133" i="22"/>
  <c r="E132" i="22"/>
  <c r="E131" i="22"/>
  <c r="E130" i="22"/>
  <c r="E129" i="22"/>
  <c r="E128" i="22"/>
  <c r="E127" i="22"/>
  <c r="E126" i="22"/>
  <c r="E125" i="22"/>
  <c r="E124" i="22"/>
  <c r="E123" i="22"/>
  <c r="E122" i="22"/>
  <c r="E121" i="22"/>
  <c r="E120" i="22"/>
  <c r="E119" i="22"/>
  <c r="E118" i="22"/>
  <c r="E117" i="22"/>
  <c r="E116" i="22"/>
  <c r="E115" i="22"/>
  <c r="E114" i="22"/>
  <c r="E113" i="22"/>
  <c r="E112" i="22"/>
  <c r="E111" i="22"/>
  <c r="E110" i="22"/>
  <c r="E109" i="22"/>
  <c r="E108" i="22"/>
  <c r="E107" i="22"/>
  <c r="E106" i="22"/>
  <c r="E105" i="22"/>
  <c r="E104" i="22"/>
  <c r="E103" i="22"/>
  <c r="E102" i="22"/>
  <c r="E101" i="22"/>
  <c r="E100" i="22"/>
  <c r="E99" i="22"/>
  <c r="E98" i="22"/>
  <c r="E97" i="22"/>
  <c r="E96" i="22"/>
  <c r="E95" i="22"/>
  <c r="E94" i="22"/>
  <c r="E93" i="22"/>
  <c r="E92" i="22"/>
  <c r="E91" i="22"/>
  <c r="E90" i="22"/>
  <c r="E89" i="22"/>
  <c r="E88" i="22"/>
  <c r="E87" i="22"/>
  <c r="E86" i="22"/>
  <c r="E85" i="22"/>
  <c r="E84" i="22"/>
  <c r="E83" i="22"/>
  <c r="E82" i="22"/>
  <c r="E81" i="22"/>
  <c r="E80" i="22"/>
  <c r="E79" i="22"/>
  <c r="E78" i="22"/>
  <c r="E77" i="22"/>
  <c r="E76" i="22"/>
  <c r="E75" i="22"/>
  <c r="E74" i="22"/>
  <c r="E73" i="22"/>
  <c r="E72" i="22"/>
  <c r="E71" i="22"/>
  <c r="E70" i="22"/>
  <c r="E69" i="22"/>
  <c r="E68" i="22"/>
  <c r="E67" i="22"/>
  <c r="E66" i="22"/>
  <c r="E65" i="22"/>
  <c r="E64" i="22"/>
  <c r="E63" i="2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40" i="22"/>
  <c r="E39" i="22"/>
  <c r="E38" i="22"/>
  <c r="E37" i="22"/>
  <c r="E36" i="22"/>
  <c r="E35" i="22"/>
  <c r="E34" i="22"/>
  <c r="E33" i="22"/>
  <c r="E32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E12" i="22"/>
  <c r="E11" i="22"/>
  <c r="E10" i="22"/>
  <c r="E9" i="22"/>
  <c r="E8" i="22"/>
  <c r="E7" i="22"/>
  <c r="E6" i="22"/>
  <c r="E5" i="22"/>
  <c r="E4" i="22"/>
  <c r="E3" i="22"/>
  <c r="E2" i="22"/>
  <c r="E28" i="14"/>
  <c r="E26" i="14"/>
  <c r="E22" i="14"/>
  <c r="E21" i="14"/>
  <c r="J17" i="14"/>
  <c r="E17" i="14"/>
  <c r="J16" i="14"/>
  <c r="J14" i="14"/>
  <c r="E14" i="14"/>
  <c r="J13" i="14"/>
  <c r="J10" i="14"/>
  <c r="E10" i="14"/>
  <c r="E3" i="14"/>
</calcChain>
</file>

<file path=xl/sharedStrings.xml><?xml version="1.0" encoding="utf-8"?>
<sst xmlns="http://schemas.openxmlformats.org/spreadsheetml/2006/main" count="2362" uniqueCount="1297">
  <si>
    <t>Obs</t>
  </si>
  <si>
    <t>Price</t>
  </si>
  <si>
    <t>SqFt</t>
  </si>
  <si>
    <t>LotSize</t>
  </si>
  <si>
    <t>Baths</t>
  </si>
  <si>
    <r>
      <t>Price</t>
    </r>
    <r>
      <rPr>
        <sz val="11"/>
        <color rgb="FF000000"/>
        <rFont val="Calibri"/>
        <family val="2"/>
      </rPr>
      <t xml:space="preserve"> = selling price of a home (thousands of dollars)</t>
    </r>
  </si>
  <si>
    <r>
      <t>SqFt</t>
    </r>
    <r>
      <rPr>
        <sz val="11"/>
        <color rgb="FF000000"/>
        <rFont val="Calibri"/>
        <family val="2"/>
      </rPr>
      <t xml:space="preserve"> = home size (square feet).</t>
    </r>
  </si>
  <si>
    <r>
      <t>LotSize</t>
    </r>
    <r>
      <rPr>
        <sz val="11"/>
        <color rgb="FF000000"/>
        <rFont val="Calibri"/>
        <family val="2"/>
      </rPr>
      <t xml:space="preserve"> = lot size (thousand square feet).</t>
    </r>
  </si>
  <si>
    <r>
      <t>Baths</t>
    </r>
    <r>
      <rPr>
        <sz val="11"/>
        <color rgb="FF000000"/>
        <rFont val="Calibri"/>
        <family val="2"/>
      </rPr>
      <t xml:space="preserve"> = number of bathrooms.</t>
    </r>
  </si>
  <si>
    <t>varname</t>
  </si>
  <si>
    <t>Assessed</t>
  </si>
  <si>
    <t>Floor</t>
  </si>
  <si>
    <t>Offices</t>
  </si>
  <si>
    <t>Entrances</t>
  </si>
  <si>
    <t>Age</t>
  </si>
  <si>
    <t>Freeway</t>
  </si>
  <si>
    <r>
      <t>Assessed</t>
    </r>
    <r>
      <rPr>
        <sz val="11"/>
        <color rgb="FF000000"/>
        <rFont val="Calibri"/>
        <family val="2"/>
      </rPr>
      <t xml:space="preserve"> = assessed value (thousands of dollars)</t>
    </r>
  </si>
  <si>
    <r>
      <t>Floor</t>
    </r>
    <r>
      <rPr>
        <sz val="11"/>
        <color rgb="FF000000"/>
        <rFont val="Calibri"/>
        <family val="2"/>
      </rPr>
      <t xml:space="preserve"> = square feet of floor space</t>
    </r>
  </si>
  <si>
    <r>
      <t>Offices</t>
    </r>
    <r>
      <rPr>
        <sz val="11"/>
        <color rgb="FF000000"/>
        <rFont val="Calibri"/>
        <family val="2"/>
      </rPr>
      <t xml:space="preserve"> = number of offices in the building</t>
    </r>
  </si>
  <si>
    <r>
      <t>Entrances</t>
    </r>
    <r>
      <rPr>
        <sz val="11"/>
        <color rgb="FF000000"/>
        <rFont val="Calibri"/>
        <family val="2"/>
      </rPr>
      <t xml:space="preserve"> = number of customer entrances (excluding service doors)</t>
    </r>
  </si>
  <si>
    <r>
      <t>Age</t>
    </r>
    <r>
      <rPr>
        <sz val="11"/>
        <color rgb="FF000000"/>
        <rFont val="Calibri"/>
        <family val="2"/>
      </rPr>
      <t xml:space="preserve"> = age of the building (years)</t>
    </r>
  </si>
  <si>
    <r>
      <t>Freeway</t>
    </r>
    <r>
      <rPr>
        <sz val="11"/>
        <color rgb="FF000000"/>
        <rFont val="Calibri"/>
        <family val="2"/>
      </rPr>
      <t xml:space="preserve"> = 1 if within one mile of freeway, 0 otherwise</t>
    </r>
  </si>
  <si>
    <t>Sales</t>
  </si>
  <si>
    <t>FloorSpace</t>
  </si>
  <si>
    <t>CompetingAds</t>
  </si>
  <si>
    <r>
      <t>Sales</t>
    </r>
    <r>
      <rPr>
        <sz val="11"/>
        <color rgb="FF000000"/>
        <rFont val="Calibri"/>
        <family val="2"/>
      </rPr>
      <t xml:space="preserve"> = total sales (thousands of dollars)</t>
    </r>
  </si>
  <si>
    <r>
      <t>FloorSpace</t>
    </r>
    <r>
      <rPr>
        <sz val="11"/>
        <color rgb="FF000000"/>
        <rFont val="Calibri"/>
        <family val="2"/>
      </rPr>
      <t xml:space="preserve"> = display floor space (square meters)</t>
    </r>
  </si>
  <si>
    <r>
      <t>CompetingAds</t>
    </r>
    <r>
      <rPr>
        <sz val="11"/>
        <color rgb="FF000000"/>
        <rFont val="Calibri"/>
        <family val="2"/>
      </rPr>
      <t xml:space="preserve"> = competitors’ advertising expenditures (thousands of dollars)</t>
    </r>
  </si>
  <si>
    <r>
      <t>Price</t>
    </r>
    <r>
      <rPr>
        <sz val="11"/>
        <color rgb="FF000000"/>
        <rFont val="Calibri"/>
        <family val="2"/>
      </rPr>
      <t xml:space="preserve"> = advertised price (dollars per unit).  </t>
    </r>
  </si>
  <si>
    <t>Nation</t>
  </si>
  <si>
    <t>BirthRate</t>
  </si>
  <si>
    <t>LifeExp</t>
  </si>
  <si>
    <t>InfMort</t>
  </si>
  <si>
    <t>Density</t>
  </si>
  <si>
    <t>GDPCap</t>
  </si>
  <si>
    <t>Literate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</si>
  <si>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</si>
  <si>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</si>
  <si>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</si>
  <si>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</si>
  <si>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</si>
  <si>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</si>
  <si>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</si>
  <si>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</si>
  <si>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</si>
  <si>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Bangladesh</t>
  </si>
  <si>
    <t>Belarus</t>
  </si>
  <si>
    <t>Belgium</t>
  </si>
  <si>
    <t>Benin</t>
  </si>
  <si>
    <t>Bhutan</t>
  </si>
  <si>
    <t>Bolivia</t>
  </si>
  <si>
    <t>Bosnia/Herzeg.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</si>
  <si>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</si>
  <si>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</si>
  <si>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</si>
  <si>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</si>
  <si>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</si>
  <si>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</si>
  <si>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</si>
  <si>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</si>
  <si>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</t>
  </si>
  <si>
    <t>Chad</t>
  </si>
  <si>
    <t>Chile</t>
  </si>
  <si>
    <t>China</t>
  </si>
  <si>
    <t>China, Hong Kong</t>
  </si>
  <si>
    <t>Colombia</t>
  </si>
  <si>
    <t>Congo, Republic of</t>
  </si>
  <si>
    <t>Congo, Democratic Rep. of</t>
  </si>
  <si>
    <t>Costa Rica</t>
  </si>
  <si>
    <t>Cote d'Ivoire</t>
  </si>
  <si>
    <t>Croatia</t>
  </si>
  <si>
    <t>Cuba</t>
  </si>
  <si>
    <t>Czech Republic</t>
  </si>
  <si>
    <t>Denmark</t>
  </si>
  <si>
    <t>Dom Republic</t>
  </si>
  <si>
    <t>Ecuador</t>
  </si>
  <si>
    <t>Egypt</t>
  </si>
  <si>
    <t>El Salvador</t>
  </si>
  <si>
    <t>Eritrea</t>
  </si>
  <si>
    <t>Estonia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</si>
  <si>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</si>
  <si>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</si>
  <si>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</si>
  <si>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</si>
  <si>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</si>
  <si>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</si>
  <si>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</si>
  <si>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</si>
  <si>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</si>
  <si>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</si>
  <si>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</si>
  <si>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</si>
  <si>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Haiti</t>
  </si>
  <si>
    <t>Honduras</t>
  </si>
  <si>
    <t>Hungary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</si>
  <si>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</si>
  <si>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</si>
  <si>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</si>
  <si>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</si>
  <si>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</si>
  <si>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</si>
  <si>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</si>
  <si>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</si>
  <si>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</si>
  <si>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</si>
  <si>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</si>
  <si>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</si>
  <si>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 N</t>
  </si>
  <si>
    <t>Korea S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</si>
  <si>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</si>
  <si>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</si>
  <si>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</si>
  <si>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</si>
  <si>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</si>
  <si>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</si>
  <si>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</si>
  <si>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</si>
  <si>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</si>
  <si>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Macedonia</t>
  </si>
  <si>
    <t>Madagascar</t>
  </si>
  <si>
    <t>Malawi</t>
  </si>
  <si>
    <t>Malaysia</t>
  </si>
  <si>
    <t>Mali</t>
  </si>
  <si>
    <t>Mauritiana</t>
  </si>
  <si>
    <t>Mauritius</t>
  </si>
  <si>
    <t>Mexico</t>
  </si>
  <si>
    <t>Moldova</t>
  </si>
  <si>
    <t>Mongolia</t>
  </si>
  <si>
    <t>Morocco</t>
  </si>
  <si>
    <t>Mozambique</t>
  </si>
  <si>
    <t>Myanmar (Burma)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</si>
  <si>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</si>
  <si>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</si>
  <si>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</si>
  <si>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</si>
  <si>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</si>
  <si>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</si>
  <si>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</si>
  <si>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</si>
  <si>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</si>
  <si>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</si>
  <si>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</si>
  <si>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N.G.</t>
  </si>
  <si>
    <t>Paraguay</t>
  </si>
  <si>
    <t>Peru</t>
  </si>
  <si>
    <t>Philippines</t>
  </si>
  <si>
    <t>Poland</t>
  </si>
  <si>
    <t>Portugal</t>
  </si>
  <si>
    <t>Puerto Rico*</t>
  </si>
  <si>
    <t>Romania</t>
  </si>
  <si>
    <t>Russia</t>
  </si>
  <si>
    <t>Rwanda</t>
  </si>
  <si>
    <t>Saudi Arabia</t>
  </si>
  <si>
    <t>Senegal</t>
  </si>
  <si>
    <t>Serbia and Montenegro</t>
  </si>
  <si>
    <t>Sierra Leone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</si>
  <si>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</si>
  <si>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</si>
  <si>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</si>
  <si>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</si>
  <si>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</si>
  <si>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</si>
  <si>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</si>
  <si>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</si>
  <si>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</si>
  <si>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</si>
  <si>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</si>
  <si>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</si>
  <si>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</si>
  <si>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</si>
  <si>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</si>
  <si>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</si>
  <si>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</si>
  <si>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Trinidad&amp;Tobago</t>
  </si>
  <si>
    <t>Tunisia</t>
  </si>
  <si>
    <t>Turkey</t>
  </si>
  <si>
    <t>Turkmenistan</t>
  </si>
  <si>
    <t>Uganda</t>
  </si>
  <si>
    <t>Ukraine</t>
  </si>
  <si>
    <t>United Arab Em.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</si>
  <si>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</si>
  <si>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</si>
  <si>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</si>
  <si>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</si>
  <si>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</si>
  <si>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</si>
  <si>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</si>
  <si>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</si>
  <si>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</si>
  <si>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var_name</t>
  </si>
  <si>
    <r>
      <t>BirthRate</t>
    </r>
    <r>
      <rPr>
        <sz val="11"/>
        <color rgb="FF000000"/>
        <rFont val="Calibri"/>
        <family val="2"/>
      </rPr>
      <t xml:space="preserve"> (births per 1000)</t>
    </r>
  </si>
  <si>
    <r>
      <t>LifeExp</t>
    </r>
    <r>
      <rPr>
        <sz val="11"/>
        <color rgb="FF000000"/>
        <rFont val="Calibri"/>
        <family val="2"/>
      </rPr>
      <t xml:space="preserve"> (life expectancy in years)</t>
    </r>
  </si>
  <si>
    <r>
      <t>InfMort</t>
    </r>
    <r>
      <rPr>
        <sz val="11"/>
        <color rgb="FF000000"/>
        <rFont val="Calibri"/>
        <family val="2"/>
      </rPr>
      <t xml:space="preserve"> (infant mortality rate)</t>
    </r>
  </si>
  <si>
    <r>
      <t>Density</t>
    </r>
    <r>
      <rPr>
        <sz val="11"/>
        <color rgb="FF000000"/>
        <rFont val="Calibri"/>
        <family val="2"/>
      </rPr>
      <t xml:space="preserve"> (population density per square kilometer)</t>
    </r>
  </si>
  <si>
    <r>
      <t>GDPCap</t>
    </r>
    <r>
      <rPr>
        <sz val="11"/>
        <color rgb="FF000000"/>
        <rFont val="Calibri"/>
        <family val="2"/>
      </rPr>
      <t xml:space="preserve"> (Gross Domestic Product per capita)</t>
    </r>
  </si>
  <si>
    <r>
      <t>Literate</t>
    </r>
    <r>
      <rPr>
        <sz val="11"/>
        <color rgb="FF000000"/>
        <rFont val="Calibri"/>
        <family val="2"/>
      </rPr>
      <t xml:space="preserve"> (literacy percent)</t>
    </r>
  </si>
  <si>
    <t>FatPct</t>
  </si>
  <si>
    <t>Weight</t>
  </si>
  <si>
    <t>Height</t>
  </si>
  <si>
    <t>Neck</t>
  </si>
  <si>
    <t>Chest</t>
  </si>
  <si>
    <t>Abdomen</t>
  </si>
  <si>
    <t>Hip</t>
  </si>
  <si>
    <t>Thigh</t>
  </si>
  <si>
    <r>
      <t>FatPct</t>
    </r>
    <r>
      <rPr>
        <sz val="11"/>
        <color rgb="FF000000"/>
        <rFont val="Calibri"/>
        <family val="2"/>
      </rPr>
      <t xml:space="preserve"> = percent body fat</t>
    </r>
  </si>
  <si>
    <r>
      <t>Age</t>
    </r>
    <r>
      <rPr>
        <sz val="11"/>
        <color rgb="FF000000"/>
        <rFont val="Calibri"/>
        <family val="2"/>
      </rPr>
      <t xml:space="preserve"> = age (yrs)</t>
    </r>
  </si>
  <si>
    <r>
      <t>Weight</t>
    </r>
    <r>
      <rPr>
        <sz val="11"/>
        <color rgb="FF000000"/>
        <rFont val="Calibri"/>
        <family val="2"/>
      </rPr>
      <t xml:space="preserve"> = weight (lbs)</t>
    </r>
  </si>
  <si>
    <r>
      <t>Height</t>
    </r>
    <r>
      <rPr>
        <sz val="11"/>
        <color rgb="FF000000"/>
        <rFont val="Calibri"/>
        <family val="2"/>
      </rPr>
      <t xml:space="preserve"> = height (in.)</t>
    </r>
  </si>
  <si>
    <r>
      <t>Neck</t>
    </r>
    <r>
      <rPr>
        <sz val="11"/>
        <color rgb="FF000000"/>
        <rFont val="Calibri"/>
        <family val="2"/>
      </rPr>
      <t xml:space="preserve"> = neck circumference (cm)</t>
    </r>
  </si>
  <si>
    <r>
      <t>Chest</t>
    </r>
    <r>
      <rPr>
        <sz val="11"/>
        <color rgb="FF000000"/>
        <rFont val="Calibri"/>
        <family val="2"/>
      </rPr>
      <t xml:space="preserve"> = chest circumference (cm)</t>
    </r>
  </si>
  <si>
    <r>
      <t>Abdomen</t>
    </r>
    <r>
      <rPr>
        <sz val="11"/>
        <color rgb="FF000000"/>
        <rFont val="Calibri"/>
        <family val="2"/>
      </rPr>
      <t xml:space="preserve"> = abdomen circumference (cm)</t>
    </r>
  </si>
  <si>
    <r>
      <t>Hip</t>
    </r>
    <r>
      <rPr>
        <sz val="11"/>
        <color rgb="FF000000"/>
        <rFont val="Calibri"/>
        <family val="2"/>
      </rPr>
      <t xml:space="preserve"> = hip circumference (cm)</t>
    </r>
  </si>
  <si>
    <r>
      <t>Thigh</t>
    </r>
    <r>
      <rPr>
        <sz val="11"/>
        <color rgb="FF000000"/>
        <rFont val="Calibri"/>
        <family val="2"/>
      </rPr>
      <t xml:space="preserve"> = thigh circumference (cm)</t>
    </r>
  </si>
  <si>
    <t>Abbrev</t>
  </si>
  <si>
    <t>State</t>
  </si>
  <si>
    <t>Burglary</t>
  </si>
  <si>
    <t>AgeMed</t>
  </si>
  <si>
    <t>Bankrupt</t>
  </si>
  <si>
    <t>FedSpend</t>
  </si>
  <si>
    <t>HSGrad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</si>
  <si>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</si>
  <si>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</si>
  <si>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</si>
  <si>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</si>
  <si>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</si>
  <si>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</si>
  <si>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</si>
  <si>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</si>
  <si>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</si>
  <si>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</si>
  <si>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</si>
  <si>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</si>
  <si>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</si>
  <si>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</si>
  <si>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</si>
  <si>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</si>
  <si>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FL</t>
  </si>
  <si>
    <t>Florida</t>
  </si>
  <si>
    <t>GA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</si>
  <si>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</si>
  <si>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</si>
  <si>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</si>
  <si>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</si>
  <si>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</si>
  <si>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</si>
  <si>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</si>
  <si>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</si>
  <si>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</si>
  <si>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</si>
  <si>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</si>
  <si>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</si>
  <si>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</si>
  <si>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</si>
  <si>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</si>
  <si>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</si>
  <si>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</si>
  <si>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</si>
  <si>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</si>
  <si>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</si>
  <si>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</si>
  <si>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</si>
  <si>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</si>
  <si>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</si>
  <si>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</si>
  <si>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</si>
  <si>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</si>
  <si>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</si>
  <si>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</si>
  <si>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</si>
  <si>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</si>
  <si>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</si>
  <si>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</si>
  <si>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</si>
  <si>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</si>
  <si>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</si>
  <si>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</si>
  <si>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</si>
  <si>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</si>
  <si>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</si>
  <si>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</si>
  <si>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</si>
  <si>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</si>
  <si>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</si>
  <si>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</si>
  <si>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</si>
  <si>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</si>
  <si>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</si>
  <si>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</si>
  <si>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</si>
  <si>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</si>
  <si>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</si>
  <si>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</si>
  <si>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</si>
  <si>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</si>
  <si>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</si>
  <si>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</si>
  <si>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</si>
  <si>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</si>
  <si>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</si>
  <si>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</si>
  <si>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</si>
  <si>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</si>
  <si>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</si>
  <si>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</si>
  <si>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</si>
  <si>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</si>
  <si>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</si>
  <si>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</si>
  <si>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</si>
  <si>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</si>
  <si>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</si>
  <si>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</si>
  <si>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</si>
  <si>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</si>
  <si>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</si>
  <si>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</si>
  <si>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</si>
  <si>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</si>
  <si>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</si>
  <si>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r>
      <t>Burglary</t>
    </r>
    <r>
      <rPr>
        <sz val="11"/>
        <color rgb="FF000000"/>
        <rFont val="Calibri"/>
        <family val="2"/>
      </rPr>
      <t xml:space="preserve"> = 2005 burglary rate per 100,000 population</t>
    </r>
  </si>
  <si>
    <r>
      <t>AgeMed</t>
    </r>
    <r>
      <rPr>
        <sz val="11"/>
        <color rgb="FF000000"/>
        <rFont val="Calibri"/>
        <family val="2"/>
      </rPr>
      <t xml:space="preserve"> = 2005 median age of population</t>
    </r>
  </si>
  <si>
    <r>
      <t>Bankrupt</t>
    </r>
    <r>
      <rPr>
        <sz val="11"/>
        <color rgb="FF000000"/>
        <rFont val="Calibri"/>
        <family val="2"/>
      </rPr>
      <t xml:space="preserve"> = 2005 corporate or individual bankruptcies filed per 1,000 population</t>
    </r>
  </si>
  <si>
    <r>
      <t>FedSpend</t>
    </r>
    <r>
      <rPr>
        <sz val="11"/>
        <color rgb="FF000000"/>
        <rFont val="Calibri"/>
        <family val="2"/>
      </rPr>
      <t xml:space="preserve"> = 2004 federal spending per capita for all functions</t>
    </r>
  </si>
  <si>
    <r>
      <t>HSGrad</t>
    </r>
    <r>
      <rPr>
        <sz val="11"/>
        <color rgb="FF000000"/>
        <rFont val="Calibri"/>
        <family val="2"/>
      </rPr>
      <t xml:space="preserve"> = 2005 public high school graduation rate (percent</t>
    </r>
  </si>
  <si>
    <t>CarTheft</t>
  </si>
  <si>
    <t>Income</t>
  </si>
  <si>
    <t>Unem</t>
  </si>
  <si>
    <t>Pupil</t>
  </si>
  <si>
    <t>Divorce</t>
  </si>
  <si>
    <t>N Hampshire</t>
  </si>
  <si>
    <t>N Carolina</t>
  </si>
  <si>
    <t>N Dakota</t>
  </si>
  <si>
    <t>S Carolina</t>
  </si>
  <si>
    <t>S Dakota</t>
  </si>
  <si>
    <t>W Virginia</t>
  </si>
  <si>
    <r>
      <t>CarTheft</t>
    </r>
    <r>
      <rPr>
        <sz val="11"/>
        <color rgb="FF000000"/>
        <rFont val="Calibri"/>
        <family val="2"/>
      </rPr>
      <t xml:space="preserve"> = motor vehicle theft rate per 100,000 population</t>
    </r>
  </si>
  <si>
    <r>
      <t xml:space="preserve"> </t>
    </r>
    <r>
      <rPr>
        <b/>
        <i/>
        <sz val="11"/>
        <color rgb="FF376092"/>
        <rFont val="Calibri"/>
        <family val="2"/>
      </rPr>
      <t>Income</t>
    </r>
    <r>
      <rPr>
        <sz val="11"/>
        <color rgb="FF000000"/>
        <rFont val="Calibri"/>
        <family val="2"/>
      </rPr>
      <t xml:space="preserve"> = personal income per capita</t>
    </r>
  </si>
  <si>
    <r>
      <t>Unem</t>
    </r>
    <r>
      <rPr>
        <sz val="11"/>
        <color rgb="FF000000"/>
        <rFont val="Calibri"/>
        <family val="2"/>
      </rPr>
      <t xml:space="preserve"> = unemployment rate (percent)</t>
    </r>
  </si>
  <si>
    <r>
      <t>Pupil</t>
    </r>
    <r>
      <rPr>
        <sz val="11"/>
        <color rgb="FF000000"/>
        <rFont val="Calibri"/>
        <family val="2"/>
      </rPr>
      <t xml:space="preserve"> = average ratio of pupils to teachers in K-12 schools</t>
    </r>
  </si>
  <si>
    <r>
      <t>Divorce</t>
    </r>
    <r>
      <rPr>
        <sz val="11"/>
        <color rgb="FF000000"/>
        <rFont val="Calibri"/>
        <family val="2"/>
      </rPr>
      <t xml:space="preserve"> = divorces per 100 population </t>
    </r>
  </si>
  <si>
    <t>Page</t>
  </si>
  <si>
    <t>Vehicle</t>
  </si>
  <si>
    <t>CityMPG</t>
  </si>
  <si>
    <t>Length</t>
  </si>
  <si>
    <t>Width</t>
  </si>
  <si>
    <t>Acura CL</t>
  </si>
  <si>
    <t>Accura TSX</t>
  </si>
  <si>
    <t>BMW 3-Series</t>
  </si>
  <si>
    <t>Buick Century</t>
  </si>
  <si>
    <t>Buick Rendezvous</t>
  </si>
  <si>
    <t>Cadillac Seville</t>
  </si>
  <si>
    <t>Chevrolet Corvette</t>
  </si>
  <si>
    <t>Chevrolet Silverado 1500</t>
  </si>
  <si>
    <t>Chevrolet TrailBlazer</t>
  </si>
  <si>
    <t>Chrysler Pacifica</t>
  </si>
  <si>
    <t>Dodge Caravan</t>
  </si>
  <si>
    <t>Dodge Ram 1500</t>
  </si>
  <si>
    <t>Ford Expedition</t>
  </si>
  <si>
    <t>Ford Focus</t>
  </si>
  <si>
    <t>GMC Envoy</t>
  </si>
  <si>
    <t>Honda Accord</t>
  </si>
  <si>
    <t>Honda Odyssey</t>
  </si>
  <si>
    <t>Hyundai Elantra</t>
  </si>
  <si>
    <t>Infiniti FX</t>
  </si>
  <si>
    <t>Isuzu Ascender</t>
  </si>
  <si>
    <t>Jaguar XJ8</t>
  </si>
  <si>
    <t>Kia Rio</t>
  </si>
  <si>
    <t>Land Rover Freelander</t>
  </si>
  <si>
    <t>Lexus IS300</t>
  </si>
  <si>
    <t>Lincoln Aviator</t>
  </si>
  <si>
    <t>Mazda MPV</t>
  </si>
  <si>
    <t>Mazda6</t>
  </si>
  <si>
    <t>Mercedes-Benz S-Class</t>
  </si>
  <si>
    <t>Mercury Sable</t>
  </si>
  <si>
    <t>Mitsubishi Galant</t>
  </si>
  <si>
    <t>Nissan 350Z</t>
  </si>
  <si>
    <t>Nissan Pathfinder</t>
  </si>
  <si>
    <t>Nissan Xterra</t>
  </si>
  <si>
    <t>Pontiac Grand Am</t>
  </si>
  <si>
    <t>Pontiac Vibe</t>
  </si>
  <si>
    <t>Saturn Ion</t>
  </si>
  <si>
    <t>Suburu Baja</t>
  </si>
  <si>
    <t>Suzuki Vitara /XL-7</t>
  </si>
  <si>
    <t>Toyota Celica</t>
  </si>
  <si>
    <t>Toyota Matrix</t>
  </si>
  <si>
    <t>Toyota Sienna</t>
  </si>
  <si>
    <t>Volkswagen Jetta</t>
  </si>
  <si>
    <t>Volvo C70</t>
  </si>
  <si>
    <r>
      <t>CityMPG</t>
    </r>
    <r>
      <rPr>
        <sz val="11"/>
        <color rgb="FF000000"/>
        <rFont val="Calibri"/>
        <family val="2"/>
      </rPr>
      <t xml:space="preserve"> = EPA miles per gallon in city driving</t>
    </r>
  </si>
  <si>
    <r>
      <t>Length</t>
    </r>
    <r>
      <rPr>
        <sz val="11"/>
        <color rgb="FF000000"/>
        <rFont val="Calibri"/>
        <family val="2"/>
      </rPr>
      <t xml:space="preserve"> = vehicle length (inches)</t>
    </r>
  </si>
  <si>
    <r>
      <t>Width</t>
    </r>
    <r>
      <rPr>
        <sz val="11"/>
        <color rgb="FF000000"/>
        <rFont val="Calibri"/>
        <family val="2"/>
      </rPr>
      <t xml:space="preserve"> =vehicle width (inches)</t>
    </r>
  </si>
  <si>
    <r>
      <t>Weight</t>
    </r>
    <r>
      <rPr>
        <sz val="11"/>
        <color rgb="FF000000"/>
        <rFont val="Calibri"/>
        <family val="2"/>
      </rPr>
      <t xml:space="preserve"> = vehicle curb weight (pounds) </t>
    </r>
  </si>
  <si>
    <t>ColGrad</t>
  </si>
  <si>
    <t>Dropout</t>
  </si>
  <si>
    <t>EdSpend</t>
  </si>
  <si>
    <t>Metro</t>
  </si>
  <si>
    <t>LPRFem</t>
  </si>
  <si>
    <t>Neast</t>
  </si>
  <si>
    <t>Seast</t>
  </si>
  <si>
    <t>West</t>
  </si>
  <si>
    <t>Midwest</t>
  </si>
  <si>
    <r>
      <t>ColGrad</t>
    </r>
    <r>
      <rPr>
        <sz val="11"/>
        <color rgb="FF000000"/>
        <rFont val="Calibri"/>
        <family val="2"/>
      </rPr>
      <t xml:space="preserve"> = percent of state population with a college degree</t>
    </r>
  </si>
  <si>
    <r>
      <t>Dropout</t>
    </r>
    <r>
      <rPr>
        <sz val="11"/>
        <color rgb="FF000000"/>
        <rFont val="Calibri"/>
        <family val="2"/>
      </rPr>
      <t xml:space="preserve"> = percent of high school students who do not graduate</t>
    </r>
  </si>
  <si>
    <r>
      <t>EdSpend</t>
    </r>
    <r>
      <rPr>
        <sz val="11"/>
        <color rgb="FF000000"/>
        <rFont val="Calibri"/>
        <family val="2"/>
      </rPr>
      <t xml:space="preserve"> = per capita spending on K-12 education</t>
    </r>
  </si>
  <si>
    <r>
      <t>Metro</t>
    </r>
    <r>
      <rPr>
        <sz val="11"/>
        <color rgb="FF000000"/>
        <rFont val="Calibri"/>
        <family val="2"/>
      </rPr>
      <t xml:space="preserve"> = percent of state population living in urban areas</t>
    </r>
  </si>
  <si>
    <r>
      <t>Age</t>
    </r>
    <r>
      <rPr>
        <sz val="11"/>
        <color rgb="FF000000"/>
        <rFont val="Calibri"/>
        <family val="2"/>
      </rPr>
      <t xml:space="preserve"> = median age of state’s population</t>
    </r>
  </si>
  <si>
    <r>
      <t>LPRFem</t>
    </r>
    <r>
      <rPr>
        <sz val="11"/>
        <color rgb="FF000000"/>
        <rFont val="Calibri"/>
        <family val="2"/>
      </rPr>
      <t xml:space="preserve"> = percent of adult females who are in the labor force</t>
    </r>
  </si>
  <si>
    <r>
      <t>Neast</t>
    </r>
    <r>
      <rPr>
        <sz val="11"/>
        <color rgb="FF000000"/>
        <rFont val="Calibri"/>
        <family val="2"/>
      </rPr>
      <t xml:space="preserve"> = 1 if state is in the northwest, 0 otherwise</t>
    </r>
  </si>
  <si>
    <r>
      <t>Seast</t>
    </r>
    <r>
      <rPr>
        <sz val="11"/>
        <color rgb="FF000000"/>
        <rFont val="Calibri"/>
        <family val="2"/>
      </rPr>
      <t xml:space="preserve"> = 1 if state is in the southeast, 0 otherwise</t>
    </r>
  </si>
  <si>
    <r>
      <t>West</t>
    </r>
    <r>
      <rPr>
        <sz val="11"/>
        <color rgb="FF000000"/>
        <rFont val="Calibri"/>
        <family val="2"/>
      </rPr>
      <t xml:space="preserve"> = 1 if state is in the west, 0 otherwise</t>
    </r>
  </si>
  <si>
    <r>
      <t>Midwest</t>
    </r>
    <r>
      <rPr>
        <sz val="11"/>
        <color rgb="FF000000"/>
        <rFont val="Calibri"/>
        <family val="2"/>
      </rPr>
      <t xml:space="preserve"> = 1 if state is in the midwest, 0 otherwise. </t>
    </r>
  </si>
  <si>
    <t>Model</t>
  </si>
  <si>
    <t>Cruise</t>
  </si>
  <si>
    <t>Year</t>
  </si>
  <si>
    <t>TotalHP</t>
  </si>
  <si>
    <t>NumBlades</t>
  </si>
  <si>
    <t>Turbo</t>
  </si>
  <si>
    <t>Cessna Turbo Stationair TU206</t>
  </si>
  <si>
    <t>Cessna 310 R</t>
  </si>
  <si>
    <t>Piper 125 Tri Pacer</t>
  </si>
  <si>
    <t>Maule Comet</t>
  </si>
  <si>
    <t>Cessna P210</t>
  </si>
  <si>
    <t>Piper Dakota</t>
  </si>
  <si>
    <t>Cessna 1825 Skylane</t>
  </si>
  <si>
    <t>Cessna 421B</t>
  </si>
  <si>
    <t>Cessna T210K</t>
  </si>
  <si>
    <t>Piper Super Cab</t>
  </si>
  <si>
    <t>Cessna 337G Skymotor II</t>
  </si>
  <si>
    <t>Piper Seneca V</t>
  </si>
  <si>
    <t>Mooney M20C</t>
  </si>
  <si>
    <t>Beech Baron 58P</t>
  </si>
  <si>
    <t>Piper Archer III</t>
  </si>
  <si>
    <t>Cessna 172 R Skyhawk</t>
  </si>
  <si>
    <t>Cessna T303 Crusader</t>
  </si>
  <si>
    <t>Piper Seneca III</t>
  </si>
  <si>
    <t>Piper Saratoga II TC</t>
  </si>
  <si>
    <t>Cessna Turbo Skylane RG</t>
  </si>
  <si>
    <t>Mooney 231</t>
  </si>
  <si>
    <t>Beech Sierra</t>
  </si>
  <si>
    <t>Piper Malibu Mirage</t>
  </si>
  <si>
    <t>Lancair Columbia 300</t>
  </si>
  <si>
    <t>Bellanca Super Viking</t>
  </si>
  <si>
    <t>Cessna 172 RG Cutlass</t>
  </si>
  <si>
    <t>Beech Duchess</t>
  </si>
  <si>
    <t>Piper Aztec F</t>
  </si>
  <si>
    <t>Cessna Cardinal</t>
  </si>
  <si>
    <t>Beech Baron D55</t>
  </si>
  <si>
    <t>Sky Arrow 650 TC</t>
  </si>
  <si>
    <t>Cessna 414A</t>
  </si>
  <si>
    <t>Cessna U206H</t>
  </si>
  <si>
    <t>Cirrus SR20</t>
  </si>
  <si>
    <t>Cessna 152</t>
  </si>
  <si>
    <t>Mooney Eagle M205</t>
  </si>
  <si>
    <t>Socata TB20 Trinidad</t>
  </si>
  <si>
    <t>Rockwell Commander 114</t>
  </si>
  <si>
    <t>Piper Turbo Lance</t>
  </si>
  <si>
    <t>Cessna 182Q Skylane</t>
  </si>
  <si>
    <t>Beech Baron 58</t>
  </si>
  <si>
    <t>Cessna 170B</t>
  </si>
  <si>
    <t>Beech Bonanza B36 TC</t>
  </si>
  <si>
    <t>Mooney Ovation 2 M20R</t>
  </si>
  <si>
    <t>Extra Extra 400</t>
  </si>
  <si>
    <t>AMD CH 2000</t>
  </si>
  <si>
    <t>Piper Satatoga SP</t>
  </si>
  <si>
    <t>Cessna Turbo Skylane T182T</t>
  </si>
  <si>
    <t>Tiger AG-5B</t>
  </si>
  <si>
    <t>Diamond C1 Eclipse</t>
  </si>
  <si>
    <t>OMF Aircraft Symphony</t>
  </si>
  <si>
    <t>Liberty XL-2</t>
  </si>
  <si>
    <t>Piper 6X</t>
  </si>
  <si>
    <r>
      <t>Year</t>
    </r>
    <r>
      <rPr>
        <sz val="11"/>
        <color rgb="FF000000"/>
        <rFont val="Calibri"/>
        <family val="2"/>
      </rPr>
      <t xml:space="preserve"> = year of manufacture</t>
    </r>
  </si>
  <si>
    <r>
      <t>Cruise</t>
    </r>
    <r>
      <rPr>
        <sz val="11"/>
        <color rgb="FF000000"/>
        <rFont val="Calibri"/>
        <family val="2"/>
      </rPr>
      <t xml:space="preserve"> = best cruise speed (knots indicated air speed) at 65%-75% power</t>
    </r>
  </si>
  <si>
    <r>
      <t>TotalHP</t>
    </r>
    <r>
      <rPr>
        <sz val="11"/>
        <color rgb="FF000000"/>
        <rFont val="Calibri"/>
        <family val="2"/>
      </rPr>
      <t xml:space="preserve"> = total horsepower (both engines if twin)</t>
    </r>
  </si>
  <si>
    <r>
      <t>NumBlades</t>
    </r>
    <r>
      <rPr>
        <sz val="11"/>
        <color rgb="FF000000"/>
        <rFont val="Calibri"/>
        <family val="2"/>
      </rPr>
      <t xml:space="preserve"> = number of propeller blades</t>
    </r>
  </si>
  <si>
    <r>
      <t>Turbo</t>
    </r>
    <r>
      <rPr>
        <sz val="11"/>
        <color rgb="FF000000"/>
        <rFont val="Calibri"/>
        <family val="2"/>
      </rPr>
      <t xml:space="preserve"> = 1 if turbocharged, 0 otherwise.</t>
    </r>
  </si>
  <si>
    <t>Insured</t>
  </si>
  <si>
    <t>NumDep</t>
  </si>
  <si>
    <t>Mortg</t>
  </si>
  <si>
    <t>EverFlood</t>
  </si>
  <si>
    <r>
      <t>Insured</t>
    </r>
    <r>
      <rPr>
        <sz val="11"/>
        <color rgb="FF000000"/>
        <rFont val="Calibri"/>
        <family val="2"/>
      </rPr>
      <t xml:space="preserve"> = 1 if homeowner purchased flood insurance this year, 0 otherwise</t>
    </r>
  </si>
  <si>
    <r>
      <t>Age</t>
    </r>
    <r>
      <rPr>
        <sz val="11"/>
        <color rgb="FF000000"/>
        <rFont val="Calibri"/>
        <family val="2"/>
      </rPr>
      <t xml:space="preserve"> = age of head of household (years)</t>
    </r>
  </si>
  <si>
    <r>
      <t>Income</t>
    </r>
    <r>
      <rPr>
        <sz val="11"/>
        <color rgb="FF000000"/>
        <rFont val="Calibri"/>
        <family val="2"/>
      </rPr>
      <t xml:space="preserve"> = family income last year (thousands)</t>
    </r>
  </si>
  <si>
    <r>
      <t>NumDep</t>
    </r>
    <r>
      <rPr>
        <sz val="11"/>
        <color rgb="FF000000"/>
        <rFont val="Calibri"/>
        <family val="2"/>
      </rPr>
      <t xml:space="preserve"> = number of dependents claimed on tax form 1040</t>
    </r>
  </si>
  <si>
    <r>
      <t>Mortg</t>
    </r>
    <r>
      <rPr>
        <sz val="11"/>
        <color rgb="FF000000"/>
        <rFont val="Calibri"/>
        <family val="2"/>
      </rPr>
      <t xml:space="preserve"> = home mortgage balance (thousands)</t>
    </r>
  </si>
  <si>
    <r>
      <t>EverFlood</t>
    </r>
    <r>
      <rPr>
        <sz val="11"/>
        <color rgb="FF000000"/>
        <rFont val="Calibri"/>
        <family val="2"/>
      </rPr>
      <t xml:space="preserve"> = 1 if property has been flooded within last 20 years, 0 otherwise </t>
    </r>
  </si>
  <si>
    <t>Foreclosure</t>
  </si>
  <si>
    <t>MassLayoff</t>
  </si>
  <si>
    <t>SubprimeShare</t>
  </si>
  <si>
    <t>PriceIncomeRatio</t>
  </si>
  <si>
    <t>Homeownership</t>
  </si>
  <si>
    <t>5YrApp</t>
  </si>
  <si>
    <t>UnempChange</t>
  </si>
  <si>
    <t>HousMoved</t>
  </si>
  <si>
    <t>2007 Foreclosure Rates (per 1,000)</t>
  </si>
  <si>
    <t>Mass Layoff events per 100,000 people</t>
  </si>
  <si>
    <t>Share of new mortgages that were subprime in 2005</t>
  </si>
  <si>
    <t>average home prices to median household income ratio</t>
  </si>
  <si>
    <t>Home Ownership rates (%) 2005</t>
  </si>
  <si>
    <t>Period Ended Dec 06 Average 5Yr home price appreciation</t>
  </si>
  <si>
    <t>2007 Unemployment rate percent change</t>
  </si>
  <si>
    <t>% of housing that was moved into in 2000-2005</t>
  </si>
  <si>
    <t>Statename</t>
  </si>
  <si>
    <t>NetRevenue</t>
  </si>
  <si>
    <t>ShipCost</t>
  </si>
  <si>
    <t>PrintAds</t>
  </si>
  <si>
    <t>WebAds</t>
  </si>
  <si>
    <t>Rebate</t>
  </si>
  <si>
    <r>
      <t>NetRevenue</t>
    </r>
    <r>
      <rPr>
        <sz val="11"/>
        <color rgb="FF000000"/>
        <rFont val="Calibri"/>
        <family val="2"/>
      </rPr>
      <t xml:space="preserve"> = net revenue (thousands of dollars)</t>
    </r>
  </si>
  <si>
    <r>
      <t>ShipCost</t>
    </r>
    <r>
      <rPr>
        <sz val="11"/>
        <color rgb="FF000000"/>
        <rFont val="Calibri"/>
        <family val="2"/>
      </rPr>
      <t xml:space="preserve"> = shipping cost (dollars per unit)</t>
    </r>
  </si>
  <si>
    <r>
      <t>PrintAds</t>
    </r>
    <r>
      <rPr>
        <sz val="11"/>
        <color rgb="FF000000"/>
        <rFont val="Calibri"/>
        <family val="2"/>
      </rPr>
      <t xml:space="preserve"> = expenditures on print advertising (thousands of dollars)</t>
    </r>
  </si>
  <si>
    <r>
      <t>WebAds</t>
    </r>
    <r>
      <rPr>
        <sz val="11"/>
        <color rgb="FF000000"/>
        <rFont val="Calibri"/>
        <family val="2"/>
      </rPr>
      <t xml:space="preserve"> = expenditure on electronic media ads (thousands)</t>
    </r>
  </si>
  <si>
    <r>
      <t>Rebate</t>
    </r>
    <r>
      <rPr>
        <sz val="11"/>
        <color rgb="FF000000"/>
        <rFont val="Calibri"/>
        <family val="2"/>
      </rPr>
      <t xml:space="preserve"> = rebate rate (percent of retail price)</t>
    </r>
  </si>
  <si>
    <t>MonoclonalAntibody</t>
  </si>
  <si>
    <t>PricePerGm</t>
  </si>
  <si>
    <t>CEOComp</t>
  </si>
  <si>
    <t>Rebates</t>
  </si>
  <si>
    <t>BiosimilarInTrial</t>
  </si>
  <si>
    <t>NumTrials</t>
  </si>
  <si>
    <t>MfgCo</t>
  </si>
  <si>
    <t>AmtMg</t>
  </si>
  <si>
    <t>TradeName</t>
  </si>
  <si>
    <t>Indication1</t>
  </si>
  <si>
    <t>Indication2</t>
  </si>
  <si>
    <t>erenumab</t>
  </si>
  <si>
    <t>Amgen</t>
  </si>
  <si>
    <t>Aimovig</t>
  </si>
  <si>
    <t>Other</t>
  </si>
  <si>
    <t>migraine</t>
  </si>
  <si>
    <t>fremanezumab</t>
  </si>
  <si>
    <t>Teva</t>
  </si>
  <si>
    <t>Ajovy</t>
  </si>
  <si>
    <t>duplimab</t>
  </si>
  <si>
    <t>Regneron/Sanofi</t>
  </si>
  <si>
    <t>Dupixent</t>
  </si>
  <si>
    <t>eczema, asthma</t>
  </si>
  <si>
    <t>galcanezumab</t>
  </si>
  <si>
    <t>Lilly</t>
  </si>
  <si>
    <t>Emgality</t>
  </si>
  <si>
    <t>ixekizumab</t>
  </si>
  <si>
    <t>Talz</t>
  </si>
  <si>
    <t>Automimmune</t>
  </si>
  <si>
    <t>psoriasis, psoratic arthritis</t>
  </si>
  <si>
    <t>guselkumab</t>
  </si>
  <si>
    <t>Janssen (J&amp;J)</t>
  </si>
  <si>
    <t>Tremfta</t>
  </si>
  <si>
    <t>Autoimmune</t>
  </si>
  <si>
    <t>psoriasis</t>
  </si>
  <si>
    <t>palivizumab</t>
  </si>
  <si>
    <t>AZ MedImmune</t>
  </si>
  <si>
    <t>Synagis</t>
  </si>
  <si>
    <t>RSV</t>
  </si>
  <si>
    <t>benralizumab</t>
  </si>
  <si>
    <t>Fasenra</t>
  </si>
  <si>
    <t>Asthma</t>
  </si>
  <si>
    <t>ocrelizumab</t>
  </si>
  <si>
    <t>Roche Genentech</t>
  </si>
  <si>
    <t>Ocrevus</t>
  </si>
  <si>
    <t>tildrakizumab</t>
  </si>
  <si>
    <t>Sun Pharma (Merck)</t>
  </si>
  <si>
    <t>Ilumya</t>
  </si>
  <si>
    <t>romosozumab</t>
  </si>
  <si>
    <t>Evenity</t>
  </si>
  <si>
    <t>Osteoporosis</t>
  </si>
  <si>
    <t>cemiplimab</t>
  </si>
  <si>
    <t>Regeneron</t>
  </si>
  <si>
    <t>Libtayo</t>
  </si>
  <si>
    <t>Cancer</t>
  </si>
  <si>
    <t>cutaneous squamous cell carcinoma</t>
  </si>
  <si>
    <t>brodalumab</t>
  </si>
  <si>
    <t>Bausch Health (Amgen)</t>
  </si>
  <si>
    <t>Siliq</t>
  </si>
  <si>
    <t>elotuzumab</t>
  </si>
  <si>
    <t>BMS</t>
  </si>
  <si>
    <t>Empliciti</t>
  </si>
  <si>
    <t>multiple myeloma</t>
  </si>
  <si>
    <t>dinutuximab</t>
  </si>
  <si>
    <t>Apeiron/United Therapeutics</t>
  </si>
  <si>
    <t>Unituxin</t>
  </si>
  <si>
    <t>neuroblastoma in children</t>
  </si>
  <si>
    <t>atezolizumab</t>
  </si>
  <si>
    <t>Tecentriq</t>
  </si>
  <si>
    <t>bladder cancer (urothelial cancer), non-small cell lung cancer, small cell lung cancer, and breast cancer</t>
  </si>
  <si>
    <t>pembrolizumab</t>
  </si>
  <si>
    <t>Merck</t>
  </si>
  <si>
    <t>Keytruda</t>
  </si>
  <si>
    <t>melanoma, lung cancer, head and neck cancer, Hodgkin lymphoma, and stomach cancer.</t>
  </si>
  <si>
    <t>adalimumab</t>
  </si>
  <si>
    <t>Abbvie</t>
  </si>
  <si>
    <t>Humira</t>
  </si>
  <si>
    <t>Rheumatic Diseases and Inflammatory Bowel Disease</t>
  </si>
  <si>
    <t>nivolumab</t>
  </si>
  <si>
    <t>Opdivo</t>
  </si>
  <si>
    <t>Blood cancer</t>
  </si>
  <si>
    <t>trastuzumab</t>
  </si>
  <si>
    <t>Herceptin</t>
  </si>
  <si>
    <t>Breast cancer</t>
  </si>
  <si>
    <t>rituximab</t>
  </si>
  <si>
    <t>Rituxin</t>
  </si>
  <si>
    <t>RA &amp; cancer</t>
  </si>
  <si>
    <t>infliximab</t>
  </si>
  <si>
    <t>J&amp;J</t>
  </si>
  <si>
    <t>Remicade</t>
  </si>
  <si>
    <t>RA</t>
  </si>
  <si>
    <t>ustekinumab</t>
  </si>
  <si>
    <t>Stelara</t>
  </si>
  <si>
    <t>Psoriasis and Crohn’s Disease</t>
  </si>
  <si>
    <t>secukinumab</t>
  </si>
  <si>
    <t>Novartis</t>
  </si>
  <si>
    <t>Cosentyx</t>
  </si>
  <si>
    <t>Psoriasis</t>
  </si>
  <si>
    <t>pertuzumab</t>
  </si>
  <si>
    <t>Perjeta</t>
  </si>
  <si>
    <t>denosumab</t>
  </si>
  <si>
    <t>Prolia</t>
  </si>
  <si>
    <t>tocilizumab</t>
  </si>
  <si>
    <t>Actemra</t>
  </si>
  <si>
    <t>golimumab</t>
  </si>
  <si>
    <t>Simponi</t>
  </si>
  <si>
    <t>RA &amp; IBS</t>
  </si>
  <si>
    <t>daratumumab</t>
  </si>
  <si>
    <t>Darzalex</t>
  </si>
  <si>
    <r>
      <t>MonoclonalAntibody</t>
    </r>
    <r>
      <rPr>
        <sz val="11"/>
        <color rgb="FF000000"/>
        <rFont val="Calibri"/>
        <family val="2"/>
      </rPr>
      <t xml:space="preserve"> = name of drug</t>
    </r>
  </si>
  <si>
    <r>
      <t>PricePerGm</t>
    </r>
    <r>
      <rPr>
        <sz val="11"/>
        <color rgb="FF000000"/>
        <rFont val="Calibri"/>
        <family val="2"/>
      </rPr>
      <t xml:space="preserve"> = price per gram (dollars)</t>
    </r>
  </si>
  <si>
    <r>
      <t>CEOComp</t>
    </r>
    <r>
      <rPr>
        <sz val="11"/>
        <color rgb="FF000000"/>
        <rFont val="Calibri"/>
        <family val="2"/>
      </rPr>
      <t xml:space="preserve"> = compensation of CEO of manufacturer</t>
    </r>
  </si>
  <si>
    <r>
      <t>Rebates</t>
    </r>
    <r>
      <rPr>
        <sz val="11"/>
        <color rgb="FF000000"/>
        <rFont val="Calibri"/>
        <family val="2"/>
      </rPr>
      <t xml:space="preserve"> = rebates per gram (offset to price)</t>
    </r>
  </si>
  <si>
    <r>
      <t>BiosimilarInTrial</t>
    </r>
    <r>
      <rPr>
        <sz val="11"/>
        <color rgb="FF000000"/>
        <rFont val="Calibri"/>
        <family val="2"/>
      </rPr>
      <t xml:space="preserve"> = 1 if a biosimilar drug is in clinical trials, 0 otherwise</t>
    </r>
  </si>
  <si>
    <r>
      <t>NumTrials</t>
    </r>
    <r>
      <rPr>
        <sz val="11"/>
        <color rgb="FF000000"/>
        <rFont val="Calibri"/>
        <family val="2"/>
      </rPr>
      <t xml:space="preserve"> = number of trials conducted</t>
    </r>
  </si>
  <si>
    <r>
      <t>MfgCo</t>
    </r>
    <r>
      <rPr>
        <sz val="11"/>
        <color rgb="FF000000"/>
        <rFont val="Calibri"/>
        <family val="2"/>
      </rPr>
      <t xml:space="preserve"> = name of manufacturing company</t>
    </r>
  </si>
  <si>
    <r>
      <t>Price</t>
    </r>
    <r>
      <rPr>
        <sz val="11"/>
        <color rgb="FF000000"/>
        <rFont val="Calibri"/>
        <family val="2"/>
      </rPr>
      <t xml:space="preserve"> =  price of drug in stated dose</t>
    </r>
  </si>
  <si>
    <r>
      <t>AmtMg</t>
    </r>
    <r>
      <rPr>
        <sz val="11"/>
        <color rgb="FF000000"/>
        <rFont val="Calibri"/>
        <family val="2"/>
      </rPr>
      <t xml:space="preserve"> =  stated dose size per capsule</t>
    </r>
  </si>
  <si>
    <r>
      <t>TradeName</t>
    </r>
    <r>
      <rPr>
        <sz val="11"/>
        <color rgb="FF000000"/>
        <rFont val="Calibri"/>
        <family val="2"/>
      </rPr>
      <t xml:space="preserve"> = trade name of drug</t>
    </r>
  </si>
  <si>
    <r>
      <t>Indication1</t>
    </r>
    <r>
      <rPr>
        <sz val="11"/>
        <color rgb="FF000000"/>
        <rFont val="Calibri"/>
        <family val="2"/>
      </rPr>
      <t xml:space="preserve"> = general condition being treated</t>
    </r>
  </si>
  <si>
    <r>
      <t>Indication2</t>
    </r>
    <r>
      <rPr>
        <sz val="11"/>
        <color rgb="FF000000"/>
        <rFont val="Calibri"/>
        <family val="2"/>
      </rPr>
      <t xml:space="preserve">  = specific condition being treated </t>
    </r>
  </si>
  <si>
    <t>ManTran</t>
  </si>
  <si>
    <t>Acura TL</t>
  </si>
  <si>
    <t>Audi A5</t>
  </si>
  <si>
    <t>BMW 4 Series 428i</t>
  </si>
  <si>
    <t>BMW X1 sDrive28i</t>
  </si>
  <si>
    <t>Buice LaCrosse</t>
  </si>
  <si>
    <t>Buick Enclave</t>
  </si>
  <si>
    <t>Buick Regal</t>
  </si>
  <si>
    <t>Cadillac ATS</t>
  </si>
  <si>
    <t>Cadillac CTS</t>
  </si>
  <si>
    <t>Cadillac Escalade</t>
  </si>
  <si>
    <t>Chevrolet Camaro 1SS</t>
  </si>
  <si>
    <t>Chevrolet Cruze LS</t>
  </si>
  <si>
    <t>Chevrolet Impala LTZ</t>
  </si>
  <si>
    <t>Chevrolet Malibu 2LT</t>
  </si>
  <si>
    <t>Chevrolet Spark LS</t>
  </si>
  <si>
    <t>Chevrolet Suburban LTZ</t>
  </si>
  <si>
    <t>Chrysler 200 Touring LX</t>
  </si>
  <si>
    <t>Chrysler 300 S</t>
  </si>
  <si>
    <t>Dodge Charger SXT</t>
  </si>
  <si>
    <t>Dodge Dart Limited</t>
  </si>
  <si>
    <t>Fiat 500 Sport</t>
  </si>
  <si>
    <t>Ford Fiesta S</t>
  </si>
  <si>
    <t>Ford Focus  SE</t>
  </si>
  <si>
    <t>Ford Mustang GT</t>
  </si>
  <si>
    <t>Ford Taurus</t>
  </si>
  <si>
    <t>Honda Accord LX</t>
  </si>
  <si>
    <t>Honda CRV LX</t>
  </si>
  <si>
    <t>Hyundai Azera Limited</t>
  </si>
  <si>
    <t>Hyundai Genesis 5.0</t>
  </si>
  <si>
    <t>Hyundai Santa Fe GLS</t>
  </si>
  <si>
    <t>Infiniti Q60</t>
  </si>
  <si>
    <t>Infiniti QX50</t>
  </si>
  <si>
    <t>Jaguar F-Type</t>
  </si>
  <si>
    <t>Jeep Compass Limited</t>
  </si>
  <si>
    <t>Jeep Grand Cherokee Limited</t>
  </si>
  <si>
    <t>Kia Forte LX</t>
  </si>
  <si>
    <t>Kia Soul</t>
  </si>
  <si>
    <t>Kia Sportage LX</t>
  </si>
  <si>
    <t>Land Rover Range Rover Sport</t>
  </si>
  <si>
    <t>Lexus IS 250</t>
  </si>
  <si>
    <t>Lexus LS 460</t>
  </si>
  <si>
    <t>Lexus RX 350</t>
  </si>
  <si>
    <t>Lincoln MKT</t>
  </si>
  <si>
    <t>Lincoln MKZ</t>
  </si>
  <si>
    <t>Lincoln Navigator</t>
  </si>
  <si>
    <t>Mazda 2</t>
  </si>
  <si>
    <t>Mazda CX-5 Sport</t>
  </si>
  <si>
    <t>Mercedes-Benz C-250</t>
  </si>
  <si>
    <t>Mercedes-Benz CL600</t>
  </si>
  <si>
    <t>Mercedes-Benz ML350</t>
  </si>
  <si>
    <t>Mini-Cooper</t>
  </si>
  <si>
    <t>Mitsubishi Outlander Sport SE</t>
  </si>
  <si>
    <t>Nissan Armada SV</t>
  </si>
  <si>
    <t>Nissan Cube S</t>
  </si>
  <si>
    <t>Nissan Maxima SV</t>
  </si>
  <si>
    <t>Nissan Murano SV</t>
  </si>
  <si>
    <t>Nissan Versa S</t>
  </si>
  <si>
    <t>Porsche Cayenne</t>
  </si>
  <si>
    <t>Scion FR-S</t>
  </si>
  <si>
    <t>Scion iQ</t>
  </si>
  <si>
    <t>Scion XD</t>
  </si>
  <si>
    <t>Suburu Forester 2.5i Limited</t>
  </si>
  <si>
    <t>Suburu Legacy 2.5i Limited</t>
  </si>
  <si>
    <t>Toyota Camry XLE</t>
  </si>
  <si>
    <t>Toyota Land Cruiser</t>
  </si>
  <si>
    <t>Toyota RAV4 XLE</t>
  </si>
  <si>
    <t>Toyota Yaris</t>
  </si>
  <si>
    <t>Volkswagen Beetle 2.5L</t>
  </si>
  <si>
    <t>Volkswagen Jetta SE</t>
  </si>
  <si>
    <t>Volkswagen Toureg V6 Sport</t>
  </si>
  <si>
    <t>Volkswagen Passat SE</t>
  </si>
  <si>
    <t>Volvo S60 T5</t>
  </si>
  <si>
    <t>Volvo XC90</t>
  </si>
  <si>
    <r>
      <t>Width</t>
    </r>
    <r>
      <rPr>
        <sz val="11"/>
        <color rgb="FF000000"/>
        <rFont val="Calibri"/>
        <family val="2"/>
      </rPr>
      <t xml:space="preserve"> = vehicle width (inches)</t>
    </r>
  </si>
  <si>
    <r>
      <t>Weight</t>
    </r>
    <r>
      <rPr>
        <sz val="11"/>
        <color rgb="FF000000"/>
        <rFont val="Calibri"/>
        <family val="2"/>
      </rPr>
      <t xml:space="preserve"> = curb weight (pounds)</t>
    </r>
  </si>
  <si>
    <r>
      <t>ManTran</t>
    </r>
    <r>
      <rPr>
        <sz val="11"/>
        <color rgb="FF000000"/>
        <rFont val="Calibri"/>
        <family val="2"/>
      </rPr>
      <t xml:space="preserve"> = 1 if manual transmissiohn, 0 otherwise.  </t>
    </r>
  </si>
  <si>
    <t>ChgCPI</t>
  </si>
  <si>
    <t>CapUtil</t>
  </si>
  <si>
    <t>ChgM1</t>
  </si>
  <si>
    <t>ChgM2</t>
  </si>
  <si>
    <r>
      <t>ChCPI</t>
    </r>
    <r>
      <rPr>
        <sz val="11"/>
        <color rgb="FF000000"/>
        <rFont val="Calibri"/>
        <family val="2"/>
      </rPr>
      <t xml:space="preserve"> = percent change in the Consumer Price Index (CPI) over previous year</t>
    </r>
  </si>
  <si>
    <r>
      <t>CapUtil</t>
    </r>
    <r>
      <rPr>
        <sz val="11"/>
        <color rgb="FF000000"/>
        <rFont val="Calibri"/>
        <family val="2"/>
      </rPr>
      <t xml:space="preserve"> = percent utilization of manufacturing capacity in current year</t>
    </r>
  </si>
  <si>
    <r>
      <t>ChgM1</t>
    </r>
    <r>
      <rPr>
        <sz val="11"/>
        <color rgb="FF000000"/>
        <rFont val="Calibri"/>
        <family val="2"/>
      </rPr>
      <t xml:space="preserve"> = percent change in currency and demand deposits (M1) over previous year</t>
    </r>
  </si>
  <si>
    <r>
      <t>ChgM2</t>
    </r>
    <r>
      <rPr>
        <sz val="11"/>
        <color rgb="FF000000"/>
        <rFont val="Calibri"/>
        <family val="2"/>
      </rPr>
      <t xml:space="preserve"> = percent change in small time deposits and other near-money (M2) over previous year</t>
    </r>
  </si>
  <si>
    <r>
      <t>Unem</t>
    </r>
    <r>
      <rPr>
        <sz val="11"/>
        <color rgb="FF000000"/>
        <rFont val="Calibri"/>
        <family val="2"/>
      </rPr>
      <t xml:space="preserve"> = civilian unemployment rate for all workers. </t>
    </r>
  </si>
  <si>
    <t>Name</t>
  </si>
  <si>
    <t>Contract</t>
  </si>
  <si>
    <t>ProBowls</t>
  </si>
  <si>
    <t>NFC</t>
  </si>
  <si>
    <t>Started</t>
  </si>
  <si>
    <t>Apple</t>
  </si>
  <si>
    <t>Averett</t>
  </si>
  <si>
    <t>Bradberry</t>
  </si>
  <si>
    <t>Burns</t>
  </si>
  <si>
    <t>Callahan</t>
  </si>
  <si>
    <t>Crossen</t>
  </si>
  <si>
    <t>Douglas</t>
  </si>
  <si>
    <t>Edmunds</t>
  </si>
  <si>
    <t>Facyson</t>
  </si>
  <si>
    <t>Flowers</t>
  </si>
  <si>
    <t>Fuller</t>
  </si>
  <si>
    <t>Gilmore</t>
  </si>
  <si>
    <t>Harmon</t>
  </si>
  <si>
    <t>Harris</t>
  </si>
  <si>
    <t>Hayward</t>
  </si>
  <si>
    <t>Houston-Carson</t>
  </si>
  <si>
    <t>Hughes</t>
  </si>
  <si>
    <t>Jackson</t>
  </si>
  <si>
    <t>Johnson</t>
  </si>
  <si>
    <t>Kearse</t>
  </si>
  <si>
    <t>Mathieu</t>
  </si>
  <si>
    <t>Maye</t>
  </si>
  <si>
    <t>Mcleod</t>
  </si>
  <si>
    <t>Mitchell</t>
  </si>
  <si>
    <t>Moore</t>
  </si>
  <si>
    <t>Moreau</t>
  </si>
  <si>
    <t>Neal</t>
  </si>
  <si>
    <t>Nelson</t>
  </si>
  <si>
    <t>Odum</t>
  </si>
  <si>
    <t>Oliver</t>
  </si>
  <si>
    <t>Peppers</t>
  </si>
  <si>
    <t>Peterson</t>
  </si>
  <si>
    <t>Reed</t>
  </si>
  <si>
    <t>Reid</t>
  </si>
  <si>
    <t>Sorensen</t>
  </si>
  <si>
    <t>Stewart</t>
  </si>
  <si>
    <t>Sullivan</t>
  </si>
  <si>
    <t>Wallace</t>
  </si>
  <si>
    <t>Ward</t>
  </si>
  <si>
    <t>Whitehead</t>
  </si>
  <si>
    <t>Williams</t>
  </si>
  <si>
    <t>Witherspoon</t>
  </si>
  <si>
    <t>Woods</t>
  </si>
  <si>
    <t>Young</t>
  </si>
  <si>
    <r>
      <t>Player</t>
    </r>
    <r>
      <rPr>
        <sz val="11"/>
        <color rgb="FF000000"/>
        <rFont val="Calibri"/>
        <family val="2"/>
      </rPr>
      <t xml:space="preserve"> = player last name</t>
    </r>
  </si>
  <si>
    <r>
      <t>Contract</t>
    </r>
    <r>
      <rPr>
        <sz val="11"/>
        <color rgb="FF000000"/>
        <rFont val="Calibri"/>
        <family val="2"/>
      </rPr>
      <t xml:space="preserve"> = annual contract revenue (millions)</t>
    </r>
  </si>
  <si>
    <r>
      <t>Age</t>
    </r>
    <r>
      <rPr>
        <sz val="11"/>
        <color rgb="FF000000"/>
        <rFont val="Calibri"/>
        <family val="2"/>
      </rPr>
      <t xml:space="preserve"> = player age</t>
    </r>
  </si>
  <si>
    <r>
      <t>ProBowl</t>
    </r>
    <r>
      <rPr>
        <sz val="11"/>
        <color rgb="FF000000"/>
        <rFont val="Calibri"/>
        <family val="2"/>
      </rPr>
      <t xml:space="preserve"> = number of Pro-Bowls played</t>
    </r>
  </si>
  <si>
    <r>
      <t>NFC</t>
    </r>
    <r>
      <rPr>
        <sz val="11"/>
        <color rgb="FF000000"/>
        <rFont val="Calibri"/>
        <family val="2"/>
      </rPr>
      <t xml:space="preserve"> = 1 if purchasing confrence is NFC, 0 if AFC</t>
    </r>
  </si>
  <si>
    <r>
      <t>Started</t>
    </r>
    <r>
      <rPr>
        <sz val="11"/>
        <color rgb="FF000000"/>
        <rFont val="Calibri"/>
        <family val="2"/>
      </rPr>
      <t xml:space="preserve"> = ratio of games started to games played</t>
    </r>
  </si>
  <si>
    <t>Buy</t>
  </si>
  <si>
    <t>Prior</t>
  </si>
  <si>
    <t>Male</t>
  </si>
  <si>
    <r>
      <t xml:space="preserve">Buy </t>
    </r>
    <r>
      <rPr>
        <sz val="11"/>
        <color rgb="FF000000"/>
        <rFont val="Calibri"/>
        <family val="2"/>
      </rPr>
      <t>= 1 if individual made a purchase during this visit to the Apple retail store, 0 otherwise)</t>
    </r>
  </si>
  <si>
    <r>
      <t>Income</t>
    </r>
    <r>
      <rPr>
        <sz val="11"/>
        <color rgb="FF000000"/>
        <rFont val="Calibri"/>
        <family val="2"/>
      </rPr>
      <t xml:space="preserve"> = individual's annual income last year (thousands)</t>
    </r>
  </si>
  <si>
    <r>
      <t>Prior</t>
    </r>
    <r>
      <rPr>
        <sz val="11"/>
        <color rgb="FF000000"/>
        <rFont val="Calibri"/>
        <family val="2"/>
      </rPr>
      <t xml:space="preserve"> = 1 if at least one Apple product already owned, 0 otherwise</t>
    </r>
  </si>
  <si>
    <r>
      <t>Male</t>
    </r>
    <r>
      <rPr>
        <sz val="11"/>
        <color rgb="FF000000"/>
        <rFont val="Calibri"/>
        <family val="2"/>
      </rPr>
      <t xml:space="preserve"> = 1 if borrower was male, 0 otherwise </t>
    </r>
  </si>
  <si>
    <t>ovalue</t>
  </si>
  <si>
    <t>scanners</t>
  </si>
  <si>
    <t>liftops</t>
  </si>
  <si>
    <t>liftwait</t>
  </si>
  <si>
    <t>trailv</t>
  </si>
  <si>
    <t>snosurf</t>
  </si>
  <si>
    <t>crowds</t>
  </si>
  <si>
    <t>amountgr</t>
  </si>
  <si>
    <t>trailgr</t>
  </si>
  <si>
    <t>skisafe</t>
  </si>
  <si>
    <t>spseen</t>
  </si>
  <si>
    <t>hosts</t>
  </si>
  <si>
    <r>
      <t xml:space="preserve">ovalue </t>
    </r>
    <r>
      <rPr>
        <sz val="11"/>
        <color rgb="FF000000"/>
        <rFont val="Calibri"/>
        <family val="2"/>
      </rPr>
      <t>= overall perceived value</t>
    </r>
  </si>
  <si>
    <r>
      <t>scanners</t>
    </r>
    <r>
      <rPr>
        <sz val="11"/>
        <color rgb="FF000000"/>
        <rFont val="Calibri"/>
        <family val="2"/>
      </rPr>
      <t xml:space="preserve"> = helpfulness/friendliness of scanners</t>
    </r>
  </si>
  <si>
    <r>
      <t>liftops</t>
    </r>
    <r>
      <rPr>
        <sz val="11"/>
        <color rgb="FF000000"/>
        <rFont val="Calibri"/>
        <family val="2"/>
      </rPr>
      <t xml:space="preserve"> = helpfulness/friendliness of lift operators</t>
    </r>
  </si>
  <si>
    <r>
      <t>liftwait</t>
    </r>
    <r>
      <rPr>
        <sz val="11"/>
        <color rgb="FF000000"/>
        <rFont val="Calibri"/>
        <family val="2"/>
      </rPr>
      <t xml:space="preserve"> =lift line wait</t>
    </r>
  </si>
  <si>
    <r>
      <t>trailv</t>
    </r>
    <r>
      <rPr>
        <sz val="11"/>
        <color rgb="FF000000"/>
        <rFont val="Calibri"/>
        <family val="2"/>
      </rPr>
      <t xml:space="preserve"> = trail variety</t>
    </r>
  </si>
  <si>
    <r>
      <t>snosurf</t>
    </r>
    <r>
      <rPr>
        <sz val="11"/>
        <color rgb="FF000000"/>
        <rFont val="Calibri"/>
        <family val="2"/>
      </rPr>
      <t xml:space="preserve"> = amount of snow</t>
    </r>
  </si>
  <si>
    <r>
      <t>crowds</t>
    </r>
    <r>
      <rPr>
        <sz val="11"/>
        <color rgb="FF000000"/>
        <rFont val="Calibri"/>
        <family val="2"/>
      </rPr>
      <t xml:space="preserve"> = crowding (too many crowds =1)</t>
    </r>
  </si>
  <si>
    <r>
      <t>amountgr</t>
    </r>
    <r>
      <rPr>
        <sz val="11"/>
        <color rgb="FF000000"/>
        <rFont val="Calibri"/>
        <family val="2"/>
      </rPr>
      <t xml:space="preserve"> = amount of grooming</t>
    </r>
  </si>
  <si>
    <r>
      <t>trailgr</t>
    </r>
    <r>
      <rPr>
        <sz val="11"/>
        <color rgb="FF000000"/>
        <rFont val="Calibri"/>
        <family val="2"/>
      </rPr>
      <t xml:space="preserve"> = quality of trail grooming</t>
    </r>
  </si>
  <si>
    <r>
      <t>skisafe</t>
    </r>
    <r>
      <rPr>
        <sz val="11"/>
        <color rgb="FF000000"/>
        <rFont val="Calibri"/>
        <family val="2"/>
      </rPr>
      <t xml:space="preserve"> = attention to skier safety</t>
    </r>
  </si>
  <si>
    <r>
      <t>spseen</t>
    </r>
    <r>
      <rPr>
        <sz val="11"/>
        <color rgb="FF000000"/>
        <rFont val="Calibri"/>
        <family val="2"/>
      </rPr>
      <t xml:space="preserve"> = Ski Patrol visibility</t>
    </r>
  </si>
  <si>
    <r>
      <t>hosts</t>
    </r>
    <r>
      <rPr>
        <sz val="11"/>
        <color rgb="FF000000"/>
        <rFont val="Calibri"/>
        <family val="2"/>
      </rPr>
      <t xml:space="preserve"> = Helpfulness/friendliness of Guest Service </t>
    </r>
  </si>
  <si>
    <t>Salary</t>
  </si>
  <si>
    <t>Years</t>
  </si>
  <si>
    <t>YearsSq</t>
  </si>
  <si>
    <t>YearsXMale</t>
  </si>
  <si>
    <r>
      <t>Salary</t>
    </r>
    <r>
      <rPr>
        <sz val="11"/>
        <color rgb="FF000000"/>
        <rFont val="Calibri"/>
        <family val="2"/>
      </rPr>
      <t xml:space="preserve"> = annual salary (thousands)</t>
    </r>
  </si>
  <si>
    <r>
      <t>Years</t>
    </r>
    <r>
      <rPr>
        <sz val="11"/>
        <color rgb="FF000000"/>
        <rFont val="Calibri"/>
        <family val="2"/>
      </rPr>
      <t xml:space="preserve"> = years of experience with this company</t>
    </r>
  </si>
  <si>
    <r>
      <t>Male</t>
    </r>
    <r>
      <rPr>
        <sz val="11"/>
        <color rgb="FF000000"/>
        <rFont val="Calibri"/>
        <family val="2"/>
      </rPr>
      <t xml:space="preserve"> = 1 if the engineer is male, 0 otherwise</t>
    </r>
  </si>
  <si>
    <t>Defendant</t>
  </si>
  <si>
    <t>Convictions</t>
  </si>
  <si>
    <t>Married</t>
  </si>
  <si>
    <t>Employed</t>
  </si>
  <si>
    <t>Sentence</t>
  </si>
  <si>
    <r>
      <t>Sentence</t>
    </r>
    <r>
      <rPr>
        <i/>
        <sz val="11"/>
        <color rgb="FF000000"/>
        <rFont val="Calibri"/>
        <family val="2"/>
      </rPr>
      <t xml:space="preserve"> = l</t>
    </r>
    <r>
      <rPr>
        <sz val="11"/>
        <color rgb="FF000000"/>
        <rFont val="Calibri"/>
        <family val="2"/>
      </rPr>
      <t>ength of jail sentence (months</t>
    </r>
  </si>
  <si>
    <t>Age = age of defendant (years)</t>
  </si>
  <si>
    <t>Convictions = Number of prior felony convictions</t>
  </si>
  <si>
    <t>Married = 1 if married, 0 otherwise</t>
  </si>
  <si>
    <t xml:space="preserve">Employed = 1 if currently employed, 0 otherwise </t>
  </si>
  <si>
    <t xml:space="preserve">Note: Sentences are in multiples of 3 months. </t>
  </si>
  <si>
    <t>Mfgr</t>
  </si>
  <si>
    <t>Car</t>
  </si>
  <si>
    <t>Truck</t>
  </si>
  <si>
    <t>SUV</t>
  </si>
  <si>
    <t>Van</t>
  </si>
  <si>
    <t>GM</t>
  </si>
  <si>
    <t>Astro Gulf Stream Conversion</t>
  </si>
  <si>
    <t>Astro LS 4.3L V6</t>
  </si>
  <si>
    <t>Astro LS V6</t>
  </si>
  <si>
    <t>Astro V6 7 Passenger</t>
  </si>
  <si>
    <t>Avalanche 4x4</t>
  </si>
  <si>
    <t>Avalanche 5.3L V8 4x4</t>
  </si>
  <si>
    <t>Avalanche V8 4 DR</t>
  </si>
  <si>
    <t>Avalanche V8 4x4</t>
  </si>
  <si>
    <t>Avalanche V8 4x4 &amp; 2x2's</t>
  </si>
  <si>
    <t>Avalanche Z71</t>
  </si>
  <si>
    <t>Avalanche Z71 4x4</t>
  </si>
  <si>
    <t>Avalanche Z71 5.3L  4x4</t>
  </si>
  <si>
    <t>Avalanche Z71 V8 4x4</t>
  </si>
  <si>
    <t>Beretta</t>
  </si>
  <si>
    <t>Blazer / Jimmy 4x4 &amp; 2's</t>
  </si>
  <si>
    <t>Blazer Exterme</t>
  </si>
  <si>
    <t>Blazer Extreme</t>
  </si>
  <si>
    <t>Blazer LS</t>
  </si>
  <si>
    <t xml:space="preserve">Blazer LS </t>
  </si>
  <si>
    <t>Blazer LS 4.0L</t>
  </si>
  <si>
    <t>Blazer LS 4.3L</t>
  </si>
  <si>
    <t>Blazer LS 4.3L V6 4x4</t>
  </si>
  <si>
    <t>Blazer LS 4.3L V6 Sport</t>
  </si>
  <si>
    <t xml:space="preserve">Blazer LS 6 CYL </t>
  </si>
  <si>
    <t>Blazer LS 6CYL 4x4</t>
  </si>
  <si>
    <t>Blazer LS suv</t>
  </si>
  <si>
    <t>Blazer LS V6</t>
  </si>
  <si>
    <t>Blazer LS V6 4x4</t>
  </si>
  <si>
    <t>Blazer LS ZR2 6CYL 4x4</t>
  </si>
  <si>
    <t>Blazer LT 4.3L V6 4x4</t>
  </si>
  <si>
    <t>Blazer LT 4WD</t>
  </si>
  <si>
    <t>Blazer LT 4x4</t>
  </si>
  <si>
    <t>Blazer LT V6 4x4</t>
  </si>
  <si>
    <t>Blazer ZR2 4.3L V6 4x4</t>
  </si>
  <si>
    <t>Blazer's 2 DR/4DR 4x4</t>
  </si>
  <si>
    <t>C3500 V8 Stake</t>
  </si>
  <si>
    <t>Camaro</t>
  </si>
  <si>
    <t>Camaro 35th ANV EDT</t>
  </si>
  <si>
    <t>Camaro 35th ANV EDT W/T -Tops</t>
  </si>
  <si>
    <t>Camaro SS 5.7L W/T-Tops</t>
  </si>
  <si>
    <t>Camaro W/T -Tops</t>
  </si>
  <si>
    <t>Camaro Z28  Convertible</t>
  </si>
  <si>
    <t>Camaro Z28 5.7L V8 W/T-Tops</t>
  </si>
  <si>
    <t>Camaro Z28 Convertible</t>
  </si>
  <si>
    <t>Camaro Z28 V8 Convertible</t>
  </si>
  <si>
    <t>Camaro Z28 W/T-Tops</t>
  </si>
  <si>
    <t xml:space="preserve">Caprice </t>
  </si>
  <si>
    <t>Caprice Classic Hanicapped equipped</t>
  </si>
  <si>
    <t>Cavalier</t>
  </si>
  <si>
    <t>Cavalier 2 DR</t>
  </si>
  <si>
    <t>Cavalier and Sunfires</t>
  </si>
  <si>
    <t>Cavalier Convertible</t>
  </si>
  <si>
    <t>Cavalier Limited</t>
  </si>
  <si>
    <t>Cavalier LS</t>
  </si>
  <si>
    <t>Cavalier LS 4 Door</t>
  </si>
  <si>
    <t>Cavalier Z24</t>
  </si>
  <si>
    <t xml:space="preserve">Cavalier Z24 </t>
  </si>
  <si>
    <t>Cavalier Z24 Convertible</t>
  </si>
  <si>
    <t>Chevy S-10 LS Crw Cab V6 4x4</t>
  </si>
  <si>
    <t>Cheyenne 1500 EXT V8</t>
  </si>
  <si>
    <t>DC</t>
  </si>
  <si>
    <t>Chrysler 300M'S</t>
  </si>
  <si>
    <t>Cirrus LXi V6</t>
  </si>
  <si>
    <t>Ford</t>
  </si>
  <si>
    <t>Club Wagon Extended</t>
  </si>
  <si>
    <t>Concorde</t>
  </si>
  <si>
    <t>Concorde LX</t>
  </si>
  <si>
    <t>Concorde LXi V6</t>
  </si>
  <si>
    <t>Concorde V6</t>
  </si>
  <si>
    <t>Contour</t>
  </si>
  <si>
    <t>Contour SE V6 24V</t>
  </si>
  <si>
    <t>Crossfire</t>
  </si>
  <si>
    <t>Crown Victoria</t>
  </si>
  <si>
    <t>Crown Victoria LX</t>
  </si>
  <si>
    <t>Crown Victoria LX Touring</t>
  </si>
  <si>
    <t>Crown Victoria LX V8</t>
  </si>
  <si>
    <t>E-150 Conersion Van</t>
  </si>
  <si>
    <t>E-150 Conversion</t>
  </si>
  <si>
    <t>E-150 D'Elegant Hi-top Conver Van V8</t>
  </si>
  <si>
    <t>E-150 Hi Top Conversion Van</t>
  </si>
  <si>
    <t>E-150 LA West Conversion</t>
  </si>
  <si>
    <t>E-150 Starcraft LTD Edition</t>
  </si>
  <si>
    <t>E-150 XLT Club Wagon</t>
  </si>
  <si>
    <t>E-350 15 Passenger</t>
  </si>
  <si>
    <t>E-350 Cargo Cab V8</t>
  </si>
  <si>
    <t>E-350 XLT Super Duty 15 Pass</t>
  </si>
  <si>
    <t>Equinox LT</t>
  </si>
  <si>
    <t>Escape Ltd 4x4</t>
  </si>
  <si>
    <t>Escape V6 4x4</t>
  </si>
  <si>
    <t>Escape XLS V6</t>
  </si>
  <si>
    <t>Escape XLS V6 4x4</t>
  </si>
  <si>
    <t>Escape XLT 4x4</t>
  </si>
  <si>
    <t>ESCAPE xlt v6</t>
  </si>
  <si>
    <t>Escape XLT V6 4x4</t>
  </si>
  <si>
    <t>Escort</t>
  </si>
  <si>
    <t>Escort LX</t>
  </si>
  <si>
    <t>Escort SE</t>
  </si>
  <si>
    <t>Escort ZX2</t>
  </si>
  <si>
    <t>Escort ZX2 Coupe</t>
  </si>
  <si>
    <t>Excursion Limited 4x4</t>
  </si>
  <si>
    <t>Excursion Limited v10 4x4</t>
  </si>
  <si>
    <t>Excursion LiTD Diesel 4x4</t>
  </si>
  <si>
    <t>Expedition</t>
  </si>
  <si>
    <t xml:space="preserve">Expedition Eddie Bauer  </t>
  </si>
  <si>
    <t>Expedition Eddie Bauer 4x4</t>
  </si>
  <si>
    <t>Expedition Eddie Bower</t>
  </si>
  <si>
    <t>Expedition Eddie Bower 4x4</t>
  </si>
  <si>
    <t>Expedition V8 4x4</t>
  </si>
  <si>
    <t>Expedition XLT 4x4</t>
  </si>
  <si>
    <t>Expedition XLT V8 3rd Row Seat 4x4</t>
  </si>
  <si>
    <t>Expedition XLT V8 4x4</t>
  </si>
  <si>
    <t>Expedition XLT V8 4x4 W/3rd Row Seat</t>
  </si>
  <si>
    <t>Expedition XLT V8 4x4 W3rd Seat</t>
  </si>
  <si>
    <t>Expedition XLT V8 W/3rd row seat</t>
  </si>
  <si>
    <t>Explorer 4.0L XLT</t>
  </si>
  <si>
    <t>Explorer 4x4</t>
  </si>
  <si>
    <t>Explorer Eddie Bauer 4x4</t>
  </si>
  <si>
    <t>Explorer Eddie Bauer 4x4 V8</t>
  </si>
  <si>
    <t>Explorer Eddie Bauer 4x4 w/3rd Row Seat</t>
  </si>
  <si>
    <t>Explorer Limited 4x4</t>
  </si>
  <si>
    <t>Explorer Limited V8</t>
  </si>
  <si>
    <t>Explorer Sport</t>
  </si>
  <si>
    <t xml:space="preserve">Explorer Sport 4.0L </t>
  </si>
  <si>
    <t>Explorer Sport 4.0L 4x4</t>
  </si>
  <si>
    <t>Explorer Sport Trac 4Dr 4x4</t>
  </si>
  <si>
    <t>Explorer Sport V6 4x4</t>
  </si>
  <si>
    <t>Explorer V6 4x4</t>
  </si>
  <si>
    <t>Explorer XLS</t>
  </si>
  <si>
    <t>Explorer XLS 4x4</t>
  </si>
  <si>
    <t xml:space="preserve">Explorer XLS 4x4 </t>
  </si>
  <si>
    <t>Explorer XLS, XLT 4x2 &amp; 4x4s</t>
  </si>
  <si>
    <t>Explorer XLT 4.0L 4x4</t>
  </si>
  <si>
    <t>Explorer XLT 4x4</t>
  </si>
  <si>
    <t>Explorer XLT Ltd Edddie Bauer V8 &amp; V6 4x4</t>
  </si>
  <si>
    <t>Explorer XLT Sport 4x4</t>
  </si>
  <si>
    <t xml:space="preserve">Explorer XLT V6 4WD </t>
  </si>
  <si>
    <t>Explorer XLT V6 4x4</t>
  </si>
  <si>
    <t>Explorer XLT V8</t>
  </si>
  <si>
    <t>Express 1500 Cargo Van</t>
  </si>
  <si>
    <t xml:space="preserve">Express 1500 Starcraft Conversion </t>
  </si>
  <si>
    <t>Express 2500 Cargo 6.0L V8</t>
  </si>
  <si>
    <t>Express Conversion</t>
  </si>
  <si>
    <t xml:space="preserve">F0150 Lightining SVT </t>
  </si>
  <si>
    <t>F0150 Lightining SVT V8</t>
  </si>
  <si>
    <t>F-100 Ranger</t>
  </si>
  <si>
    <t>F-150 4.2 V6</t>
  </si>
  <si>
    <t>F-150 Ext Cab XLT</t>
  </si>
  <si>
    <t xml:space="preserve">F-150 Lighting SVT </t>
  </si>
  <si>
    <t>F-150 Super Cab</t>
  </si>
  <si>
    <t>F-150 Super Cab Step Side 4x4</t>
  </si>
  <si>
    <t>F-150 Super Crew 4x4</t>
  </si>
  <si>
    <t>F-150 Super Crew 5.4L V8 4x4</t>
  </si>
  <si>
    <t>F-150 Super Crew XLT</t>
  </si>
  <si>
    <t>F-150 SVT Lightning V8</t>
  </si>
  <si>
    <t>F-150 SVT Lightning XLT V8</t>
  </si>
  <si>
    <t>F-150 XLT 4.6L V8 Super Cab</t>
  </si>
  <si>
    <t>F-150 XLT 4x4</t>
  </si>
  <si>
    <t>F-150 XLT 4x4 V8</t>
  </si>
  <si>
    <t>F-150 XLT Crew Cab 4x4</t>
  </si>
  <si>
    <t>F-150 XLT Ext Cab</t>
  </si>
  <si>
    <t>F-150 XLT Ext Cab Flareside 4x4</t>
  </si>
  <si>
    <t>F-150 XLT Lariat Quad Cab 5.4L V8 4x4</t>
  </si>
  <si>
    <t>F-150 XLT Lariat V8 4x4 Super Crew</t>
  </si>
  <si>
    <t>F-150 XLT Quad Cab V8</t>
  </si>
  <si>
    <t>F-150 XLT Quad Cab V8 4x4</t>
  </si>
  <si>
    <t>F-150 XLT Super Cab 4.2L</t>
  </si>
  <si>
    <t>F-150 XLT Super Cab 4x4</t>
  </si>
  <si>
    <t>F-150 XLT Super Crew V8 Fx4</t>
  </si>
  <si>
    <t>F-150 XLT Super Crew's V8</t>
  </si>
  <si>
    <t xml:space="preserve">F-150 XLT Supercab  </t>
  </si>
  <si>
    <t>F-150 XLT SuperCab 4x4</t>
  </si>
  <si>
    <t>F-150 XLT Supercab V8 4x4</t>
  </si>
  <si>
    <t>F-150 XLT SuperCab V8 4x4</t>
  </si>
  <si>
    <t>F-150 XLT Supercrew V8</t>
  </si>
  <si>
    <t>F-150 XLT Supercrew V8 4x4</t>
  </si>
  <si>
    <t>F-150 XLT V6 Supercab</t>
  </si>
  <si>
    <t>F-150 XLT V8 4x4</t>
  </si>
  <si>
    <t>F-150 XLT V8 4x4 Supercab</t>
  </si>
  <si>
    <t>F-150 XLT V8 Super Cab</t>
  </si>
  <si>
    <t>F-150 XLT V8 Super Cab 4x4</t>
  </si>
  <si>
    <t>F-150A Lariat Crew Cab 4x4</t>
  </si>
  <si>
    <t>F-250 &amp; 350's Diesels</t>
  </si>
  <si>
    <t>F-250 Crew Cab 4x4</t>
  </si>
  <si>
    <t>F-250 Deisel Crew Cab V8 4x4</t>
  </si>
  <si>
    <t>F-250 Lariat Crew Cab Superduty V8 4x4</t>
  </si>
  <si>
    <t>F-250 Lariat Super Duty Deisel Supercrew 4x4</t>
  </si>
  <si>
    <t>F-250 Lariat XLT Quad Cab V8 4x4</t>
  </si>
  <si>
    <t>F-250 Powerstroke Diesel 4x4</t>
  </si>
  <si>
    <t>F-250 Super Crew XLT Deisel V8 4x4</t>
  </si>
  <si>
    <t>F-250 Super Duty 4x4 V8</t>
  </si>
  <si>
    <t>F-250 XL Super Duty Ext Cab</t>
  </si>
  <si>
    <t>F-250 XL Superduty Power Stroke Deisel</t>
  </si>
  <si>
    <t>F-250 XLT 351 V8 4x4</t>
  </si>
  <si>
    <t>F-250 XLT 5.4L V8 4x4</t>
  </si>
  <si>
    <t>F-250 XLT Super Duty Deisel 4x4</t>
  </si>
  <si>
    <t>F-250 XLT Super Quad Cab Power Stroke 4x4</t>
  </si>
  <si>
    <t>F-250 XLT Super Duty Super Crew 4x4</t>
  </si>
  <si>
    <t>F-250 XLT Super Duty Super Crew V8 4x4</t>
  </si>
  <si>
    <t>F-250 XLT Superduty 4x4</t>
  </si>
  <si>
    <t>F-250 XLT Superduty Deisel Quad Cab 4x4</t>
  </si>
  <si>
    <t>F-350 Lariat Crew Cab V8 Turbo Deisel 4x4</t>
  </si>
  <si>
    <t>F-350 Super Crew Deisel 4x4</t>
  </si>
  <si>
    <t>F-350 Superduty 5.4L V8 4x4</t>
  </si>
  <si>
    <t>F-350 XLT EXT Cab V10 w/Soft Box</t>
  </si>
  <si>
    <t>Focus LX</t>
  </si>
  <si>
    <t>Focus SE</t>
  </si>
  <si>
    <t xml:space="preserve">Focus SE </t>
  </si>
  <si>
    <t>Focus SE 5-speed</t>
  </si>
  <si>
    <t xml:space="preserve">Focus SE Wagon </t>
  </si>
  <si>
    <t>Focus SVT</t>
  </si>
  <si>
    <t>Focus Wagon SE</t>
  </si>
  <si>
    <t>Focus ZTS</t>
  </si>
  <si>
    <t>Focus ZX3</t>
  </si>
  <si>
    <t>Focus Zx5</t>
  </si>
  <si>
    <t>Ford E-350 Cargo Van Ext</t>
  </si>
  <si>
    <t>Freestar SE V6</t>
  </si>
  <si>
    <t>Grand Voyage SE V6</t>
  </si>
  <si>
    <t>Impala</t>
  </si>
  <si>
    <t xml:space="preserve">Impala </t>
  </si>
  <si>
    <t>Impala 3.4L V6</t>
  </si>
  <si>
    <t>Impala 3.8L V6</t>
  </si>
  <si>
    <t>Impala LS</t>
  </si>
  <si>
    <t>Impala LS 3.8L V6</t>
  </si>
  <si>
    <t>Impala LS V6</t>
  </si>
  <si>
    <t>Impala SS</t>
  </si>
  <si>
    <t>Impala V6</t>
  </si>
  <si>
    <t>Impala V6 4 Door</t>
  </si>
  <si>
    <t>Impalaa LS V6</t>
  </si>
  <si>
    <t>Impala's</t>
  </si>
  <si>
    <t>LHS</t>
  </si>
  <si>
    <t>LHS with Carraige top</t>
  </si>
  <si>
    <t>Lumina APV V6</t>
  </si>
  <si>
    <t>Lumina Euro Sport V6</t>
  </si>
  <si>
    <t>Malibu</t>
  </si>
  <si>
    <t>Malibu 4 DR</t>
  </si>
  <si>
    <t>Malibu 6-Cyl</t>
  </si>
  <si>
    <t>Malibu LS</t>
  </si>
  <si>
    <t>Malibu LS V6</t>
  </si>
  <si>
    <t>Malibu Maxx LS 3.5L V6</t>
  </si>
  <si>
    <t>Malibu V6</t>
  </si>
  <si>
    <t>Malibu v6 Sedans</t>
  </si>
  <si>
    <t>Mercury Marauder 4.6L V8</t>
  </si>
  <si>
    <t>Mercury Villager Estate</t>
  </si>
  <si>
    <t>Monte Caelo SS</t>
  </si>
  <si>
    <t>Monte Carlo</t>
  </si>
  <si>
    <t>Monte Carlo Diamond edition</t>
  </si>
  <si>
    <t>Monte Carlo LS</t>
  </si>
  <si>
    <t>Monte Carlo LS 3.4L V6</t>
  </si>
  <si>
    <t>Monte Carlo LS 3.8L V6</t>
  </si>
  <si>
    <t>Monte Carlo LS V^</t>
  </si>
  <si>
    <t>Monte Carlo LS V6</t>
  </si>
  <si>
    <t>Monte Carlo SS</t>
  </si>
  <si>
    <t>Monte carlo SS</t>
  </si>
  <si>
    <t>Monte Carlo SS 3.8L V6</t>
  </si>
  <si>
    <t>Monte Carlo SS Dave Erhardt EDT</t>
  </si>
  <si>
    <t>Monte Carlo SS LTD EDT</t>
  </si>
  <si>
    <t>Monte Carlo SS V6</t>
  </si>
  <si>
    <t>Monte Carlo V6</t>
  </si>
  <si>
    <t>Monte Carlo V6 LS</t>
  </si>
  <si>
    <t>Monte Carlos</t>
  </si>
  <si>
    <t>Mustabg Convertible</t>
  </si>
  <si>
    <t>Mustang</t>
  </si>
  <si>
    <t xml:space="preserve">Mustang </t>
  </si>
  <si>
    <t>Mustang Cobra SVT Convertible</t>
  </si>
  <si>
    <t>Mustang Cobra SVT V8 Convertible</t>
  </si>
  <si>
    <t>Mustang Convertible</t>
  </si>
  <si>
    <t>Mustang Coupe</t>
  </si>
  <si>
    <t>Mustang GT</t>
  </si>
  <si>
    <t>Mustang GT 4.6 V8</t>
  </si>
  <si>
    <t>Mustang GT Convertible</t>
  </si>
  <si>
    <t>Mustang GT V8</t>
  </si>
  <si>
    <t>Mustang GT V8 Convertible</t>
  </si>
  <si>
    <t>Mustang GT4.6 Convertible</t>
  </si>
  <si>
    <t>Mustang LX's</t>
  </si>
  <si>
    <t>Mustang Mach1</t>
  </si>
  <si>
    <t>Mustang SVT Cobra</t>
  </si>
  <si>
    <t>Pacifica</t>
  </si>
  <si>
    <t>Pacifica AWD Autostick</t>
  </si>
  <si>
    <t>Pontiac Grand Am GT</t>
  </si>
  <si>
    <t>Prism</t>
  </si>
  <si>
    <t>Prism LS</t>
  </si>
  <si>
    <t>Prism Lsi</t>
  </si>
  <si>
    <t>Prism LSi</t>
  </si>
  <si>
    <t>Prism Lsi 4 Door</t>
  </si>
  <si>
    <t>Prizm</t>
  </si>
  <si>
    <t>Prowler Convertible</t>
  </si>
  <si>
    <t>PT Cruires Limited</t>
  </si>
  <si>
    <t>PT Cruiser</t>
  </si>
  <si>
    <t>PT Cruiser Limited</t>
  </si>
  <si>
    <t>PT Cruiser Limited edition</t>
  </si>
  <si>
    <t>PT Cruiser Limited Edition</t>
  </si>
  <si>
    <t>Ranger 4x4</t>
  </si>
  <si>
    <t>Ranger Edge Flareside 4x4</t>
  </si>
  <si>
    <t>Ranger Edge Super Cab 4x4</t>
  </si>
  <si>
    <t>Ranger Sup[er Cab</t>
  </si>
  <si>
    <t>Ranger Super Cab XLT V6 4x4</t>
  </si>
  <si>
    <t>Ranger XLT</t>
  </si>
  <si>
    <t>Ranger XLT 4x4</t>
  </si>
  <si>
    <t>Ranger XLT FX4 Flareside</t>
  </si>
  <si>
    <t>Ranger XLT Super Cab V6</t>
  </si>
  <si>
    <t>Ranger XLT Super Cab V6 4x4</t>
  </si>
  <si>
    <t>Ranger XLT Supercab 4x4</t>
  </si>
  <si>
    <t>Ranger XLT SuperCab 4x4</t>
  </si>
  <si>
    <t>Ranger XLT SuperCab Flareside 4x4</t>
  </si>
  <si>
    <t>Ranger XLT SuperCab Flareside V6 4x4</t>
  </si>
  <si>
    <t>Ranger XLT Supercab V6 4x4</t>
  </si>
  <si>
    <t>Ranger XLT V6</t>
  </si>
  <si>
    <t>Ranger's</t>
  </si>
  <si>
    <t>S10 &amp; Sonoma V6 4x4 &amp; 2's</t>
  </si>
  <si>
    <t>S10 Crew Cab ZR5</t>
  </si>
  <si>
    <t>S10 Crew Cab ZR5 4x4</t>
  </si>
  <si>
    <t>S10 Extreme</t>
  </si>
  <si>
    <t>S10 LS</t>
  </si>
  <si>
    <t>S10 LS Crew Cab  4x4</t>
  </si>
  <si>
    <t>S10 LS Crew Cab ZR5 4x4</t>
  </si>
  <si>
    <t>S10 LS EXT Cab</t>
  </si>
  <si>
    <t>S10 LS EXT Cab 4x4</t>
  </si>
  <si>
    <t>S10 ZR2 EXT Cab V6 4x4</t>
  </si>
  <si>
    <t>Sebring</t>
  </si>
  <si>
    <t>Sebring Convertible LXi</t>
  </si>
  <si>
    <t>Sebring JXi convertible</t>
  </si>
  <si>
    <t>Sebring JXi V6</t>
  </si>
  <si>
    <t>Sebring Limited Convertible</t>
  </si>
  <si>
    <t>Sebring LX</t>
  </si>
  <si>
    <t>Sebring LX 4 door</t>
  </si>
  <si>
    <t>Sebring LX Convertible</t>
  </si>
  <si>
    <t>Sebring LX V6 Convertible</t>
  </si>
  <si>
    <t>Sebring LXi Convertible</t>
  </si>
  <si>
    <t>Sebring LXi V6 Convertible</t>
  </si>
  <si>
    <t>Sebring LX'S 6 Cylinder</t>
  </si>
  <si>
    <t>Sebring Touring Convertible</t>
  </si>
  <si>
    <t>Silverado</t>
  </si>
  <si>
    <t>Silverado / Sierra V8 4x4 &amp; 2's</t>
  </si>
  <si>
    <t>Silverado 1500 LS EXT V8 Z714x4</t>
  </si>
  <si>
    <t>Silverado 1500 LS Z714x4</t>
  </si>
  <si>
    <t>Silverado 1500 W/8 FT BED</t>
  </si>
  <si>
    <t xml:space="preserve">Silverado 1500 Z71 EXT </t>
  </si>
  <si>
    <t>Silverado 1500 Z71 EXT 5.3L V8 4x4</t>
  </si>
  <si>
    <t>Silverado 1500 Z71 EXT Cab 4x4</t>
  </si>
  <si>
    <t>Silverado 1500 Z71 LS Xcab 4x4</t>
  </si>
  <si>
    <t>Silverado 1500Super Cab 4x4</t>
  </si>
  <si>
    <t>Silverado 2500 LS Heavy Duty EXT Cab</t>
  </si>
  <si>
    <t xml:space="preserve">Silverado 3500 Crew Cab </t>
  </si>
  <si>
    <t>Silverado Crew Cab HD 4x4</t>
  </si>
  <si>
    <t>Silverado Crew Cab V8 4x4</t>
  </si>
  <si>
    <t>Silverado LS  EXT Cab V8</t>
  </si>
  <si>
    <t>Silverado LS  XCab V8</t>
  </si>
  <si>
    <t>Silverado LS 1500 EXT V8</t>
  </si>
  <si>
    <t>Silverado LT 2500 HD Crew Cab 4x4</t>
  </si>
  <si>
    <t>Silverado LT Ext Cab V8 4x4</t>
  </si>
  <si>
    <t>Silverado V8 Ext Cab</t>
  </si>
  <si>
    <t>Silverdao 1500 LT XCAB V8</t>
  </si>
  <si>
    <t>Silverdao 1500 LT Z71 XCAB V8 4x4</t>
  </si>
  <si>
    <t>Siverdao 3500X-Cab Dump 4x4</t>
  </si>
  <si>
    <t>Sport Trac 4x4</t>
  </si>
  <si>
    <t>Step Van 16 FT V8</t>
  </si>
  <si>
    <t>Suburban 1500 Z71 4x4</t>
  </si>
  <si>
    <t>Suburban 2500LT 7.4L V8 4x4</t>
  </si>
  <si>
    <t>Suburban LS V8 4x4</t>
  </si>
  <si>
    <t>Suburban LT 4x4</t>
  </si>
  <si>
    <t>Suburban LT V8 3rd Row Seat</t>
  </si>
  <si>
    <t>Suburban LT V8 4x4</t>
  </si>
  <si>
    <t>Suburban Z71 V8 4x4</t>
  </si>
  <si>
    <t>Superfprmance Cobra 460 CI 535HP</t>
  </si>
  <si>
    <t>Tahoe 4x4</t>
  </si>
  <si>
    <t>Tahoe 4x4 &amp; 2's</t>
  </si>
  <si>
    <t>Tahoe Auto Ride LT V8 4X4</t>
  </si>
  <si>
    <t>Tahoe LS 4.3L 4x4</t>
  </si>
  <si>
    <t>Tahoe LS 4x4</t>
  </si>
  <si>
    <t>Tahoe LS V8</t>
  </si>
  <si>
    <t>Tahoe LS V8 4x4</t>
  </si>
  <si>
    <t>Tahoe LS V8 W/3rd Seat 4x4</t>
  </si>
  <si>
    <t>Tahoe LT 5.3L V8 4x4</t>
  </si>
  <si>
    <t>Tahoe LT V8 4x4</t>
  </si>
  <si>
    <t>Tahoe LT V8 4x4 W/3RD Seat</t>
  </si>
  <si>
    <t>Tahoe Z71 4x4</t>
  </si>
  <si>
    <t>Tahoe Z71 8 Cyl 4x4</t>
  </si>
  <si>
    <t>Tahoe Z71 V8 4x4</t>
  </si>
  <si>
    <t>Taurus</t>
  </si>
  <si>
    <t>Taurus LX 3.0L Wagon</t>
  </si>
  <si>
    <t>Taurus SE</t>
  </si>
  <si>
    <t xml:space="preserve">Taurus SE </t>
  </si>
  <si>
    <t>Taurus SE V6</t>
  </si>
  <si>
    <t>Taurus SE Wagon</t>
  </si>
  <si>
    <t>Taurus SEL</t>
  </si>
  <si>
    <t>Taurus SEL 24V DOHC</t>
  </si>
  <si>
    <t>Taurus SEL V6</t>
  </si>
  <si>
    <t>Taurus SES</t>
  </si>
  <si>
    <t>Taurus SES Sport V6</t>
  </si>
  <si>
    <t>Taurus SES V6</t>
  </si>
  <si>
    <t>Taurus SHO V8</t>
  </si>
  <si>
    <t>Taurus V6 SES</t>
  </si>
  <si>
    <t>Thunderbird</t>
  </si>
  <si>
    <t>Thunderbird V8</t>
  </si>
  <si>
    <t>Town &amp; Country EX</t>
  </si>
  <si>
    <t>Town &amp; Country LX</t>
  </si>
  <si>
    <t>Town &amp; Country LX V6</t>
  </si>
  <si>
    <t>Town &amp; Country LX V6, 7 Passenger</t>
  </si>
  <si>
    <t>Town &amp; Country Lxi</t>
  </si>
  <si>
    <t>Town &amp; Country LXi V6</t>
  </si>
  <si>
    <t>Tracker</t>
  </si>
  <si>
    <t>Tracker  V6 4x4</t>
  </si>
  <si>
    <t xml:space="preserve">Tracker 4DR </t>
  </si>
  <si>
    <t>Tracker 4x4</t>
  </si>
  <si>
    <t>Tracker Convertible</t>
  </si>
  <si>
    <t>Tracker LT V6 4x4</t>
  </si>
  <si>
    <t>Tracker ZR2 4x4</t>
  </si>
  <si>
    <t>Trackerr LT 4x4</t>
  </si>
  <si>
    <t>Trailblazer</t>
  </si>
  <si>
    <t>Trailblazer /Envoy 4x4</t>
  </si>
  <si>
    <t>Trailblazer EXT</t>
  </si>
  <si>
    <t>Trailblazer EXT LTZ 4x4</t>
  </si>
  <si>
    <t>Trailblazer LS   4x4</t>
  </si>
  <si>
    <t>Trailblazer LS 4X4</t>
  </si>
  <si>
    <t>Trailblazer LS 4x4</t>
  </si>
  <si>
    <t xml:space="preserve">Trailblazer LS V6 </t>
  </si>
  <si>
    <t>Trailblazer LS V6  4x4</t>
  </si>
  <si>
    <t>Trailblazer LS V6 4X4</t>
  </si>
  <si>
    <t>Trailblazer LS V6 4x4</t>
  </si>
  <si>
    <t>Trailblazer LT</t>
  </si>
  <si>
    <t>Trailblazer LT   4x4</t>
  </si>
  <si>
    <t>Trailblazer LT 4WD</t>
  </si>
  <si>
    <t>Trailblazer LT 4x4</t>
  </si>
  <si>
    <t>Trailblazer LT 6 CYL 4x4</t>
  </si>
  <si>
    <t>Trailblazer LT EXT</t>
  </si>
  <si>
    <t>Trailblazer LT EXT  4x4</t>
  </si>
  <si>
    <t>Trailblazer LTZ  4x4</t>
  </si>
  <si>
    <t>Trailblazer LTZ 6 CYL 4x4</t>
  </si>
  <si>
    <t>Trailblazer LTZ V8 4X4</t>
  </si>
  <si>
    <t>Trailblazers</t>
  </si>
  <si>
    <t>Trailblazer's</t>
  </si>
  <si>
    <t>Venture</t>
  </si>
  <si>
    <t>Venture 3.4L V6</t>
  </si>
  <si>
    <t>Venture LS</t>
  </si>
  <si>
    <t>Venture LS 3.4L V6</t>
  </si>
  <si>
    <t>Venture LS V6</t>
  </si>
  <si>
    <t>Venture Lsi</t>
  </si>
  <si>
    <t>Venture LT</t>
  </si>
  <si>
    <t>Venture LT 7 Psngr</t>
  </si>
  <si>
    <t>Voyager V6 7 Passenger</t>
  </si>
  <si>
    <t>Windstar</t>
  </si>
  <si>
    <t>Windstar LTD</t>
  </si>
  <si>
    <t>Windstar LX</t>
  </si>
  <si>
    <t>Windstar LX 3.8L</t>
  </si>
  <si>
    <t>windstar LX V6</t>
  </si>
  <si>
    <t>Windstar LX V6 3.8L</t>
  </si>
  <si>
    <t>Windstar LX V6 Sport</t>
  </si>
  <si>
    <t xml:space="preserve">Windstar SE  </t>
  </si>
  <si>
    <t>Windstar SE EXT</t>
  </si>
  <si>
    <t>Windstar SE Sport</t>
  </si>
  <si>
    <t>Windstar SEL V6</t>
  </si>
  <si>
    <t>Z28 Camaro V8</t>
  </si>
  <si>
    <t>ZR2 EXT V6 4x4</t>
  </si>
  <si>
    <t>1500 Conversion Van</t>
  </si>
  <si>
    <t>1500 Express 8 Passenger</t>
  </si>
  <si>
    <t>1500 LS Z71 $x4 V8</t>
  </si>
  <si>
    <t>1500 Z71 Quad Cab V8</t>
  </si>
  <si>
    <t>300C Hemi</t>
  </si>
  <si>
    <t>300M</t>
  </si>
  <si>
    <t>300M Autostick</t>
  </si>
  <si>
    <t>300M Special Edition</t>
  </si>
  <si>
    <t>3500 4x4 w/8FT Bed and Plow</t>
  </si>
  <si>
    <r>
      <t>Price</t>
    </r>
    <r>
      <rPr>
        <sz val="11"/>
        <color rgb="FF000000"/>
        <rFont val="Calibri"/>
        <family val="2"/>
      </rPr>
      <t xml:space="preserve"> = asking price</t>
    </r>
  </si>
  <si>
    <r>
      <t>Age</t>
    </r>
    <r>
      <rPr>
        <sz val="11"/>
        <color rgb="FF000000"/>
        <rFont val="Calibri"/>
        <family val="2"/>
      </rPr>
      <t xml:space="preserve"> = vehicle age (years)</t>
    </r>
  </si>
  <si>
    <r>
      <t>Car</t>
    </r>
    <r>
      <rPr>
        <sz val="11"/>
        <color rgb="FF000000"/>
        <rFont val="Calibri"/>
        <family val="2"/>
      </rPr>
      <t xml:space="preserve"> = 1 if passenger car, 0 otherwise</t>
    </r>
  </si>
  <si>
    <r>
      <t>Truck</t>
    </r>
    <r>
      <rPr>
        <sz val="11"/>
        <color rgb="FF000000"/>
        <rFont val="Calibri"/>
        <family val="2"/>
      </rPr>
      <t xml:space="preserve"> = 1 if truck, 0 otherwise</t>
    </r>
  </si>
  <si>
    <r>
      <t>SUV</t>
    </r>
    <r>
      <rPr>
        <sz val="11"/>
        <color rgb="FF000000"/>
        <rFont val="Calibri"/>
        <family val="2"/>
      </rPr>
      <t xml:space="preserve"> = 1 if sport utility vehicle, 0 otherwise</t>
    </r>
  </si>
  <si>
    <r>
      <t>Van</t>
    </r>
    <r>
      <rPr>
        <sz val="11"/>
        <color rgb="FF000000"/>
        <rFont val="Calibri"/>
        <family val="2"/>
      </rPr>
      <t xml:space="preserve"> = 1 if van, 0 otherwise.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</si>
</sst>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9" formatCode="_(* #,##0_);_(* \(#,##0\);_(* &quot;-&quot;??_);_(@_)"/>
    <numFmt numFmtId="170" formatCode="0_);[Red]\(0\)"/>
    <numFmt numFmtId="171" formatCode="0.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0"/>
      <color theme="0"/>
      <name val="Arial"/>
      <family val="2"/>
    </font>
    <font>
      <b/>
      <i/>
      <sz val="11"/>
      <color rgb="FF376092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i/>
      <sz val="11"/>
      <color rgb="FF000000"/>
      <name val="Calibri"/>
      <family val="2"/>
    </font>
    <font>
      <sz val="10"/>
      <color theme="1"/>
      <name val="Arial"/>
      <family val="2"/>
    </font>
    <font>
      <b/>
      <i/>
      <sz val="11"/>
      <color theme="0"/>
      <name val="Calibri"/>
      <family val="2"/>
    </font>
    <font>
      <sz val="11"/>
      <color indexed="8"/>
      <name val="Calibri"/>
      <family val="2"/>
    </font>
    <font>
      <sz val="11"/>
      <color theme="8" tint="-0.499984740745262"/>
      <name val="Calibri"/>
      <family val="2"/>
    </font>
    <font>
      <b/>
      <i/>
      <sz val="11"/>
      <color rgb="FF2F5597"/>
      <name val="Calibri"/>
      <family val="2"/>
    </font>
    <font>
      <b/>
      <i/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gray0625"/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gray0625">
        <bgColor indexed="9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22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readingOrder="1"/>
    </xf>
    <xf numFmtId="0" fontId="2" fillId="2" borderId="0" xfId="0" applyFont="1" applyFill="1" applyBorder="1" applyAlignment="1">
      <alignment horizontal="center"/>
    </xf>
    <xf numFmtId="0" fontId="2" fillId="2" borderId="2" xfId="0" applyFont="1" applyFill="1" applyBorder="1"/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3" fillId="0" borderId="0" xfId="0" applyFont="1" applyAlignment="1">
      <alignment horizontal="left" vertical="center" readingOrder="1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164" fontId="0" fillId="3" borderId="5" xfId="0" applyNumberFormat="1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3" borderId="0" xfId="0" applyFill="1" applyAlignment="1">
      <alignment horizontal="right"/>
    </xf>
    <xf numFmtId="164" fontId="0" fillId="3" borderId="0" xfId="0" applyNumberFormat="1" applyFill="1" applyAlignment="1">
      <alignment horizontal="right"/>
    </xf>
    <xf numFmtId="0" fontId="0" fillId="3" borderId="8" xfId="0" applyFill="1" applyBorder="1" applyAlignment="1">
      <alignment horizontal="right"/>
    </xf>
    <xf numFmtId="0" fontId="0" fillId="3" borderId="10" xfId="0" applyFill="1" applyBorder="1" applyAlignment="1">
      <alignment horizontal="right"/>
    </xf>
    <xf numFmtId="164" fontId="0" fillId="3" borderId="10" xfId="0" applyNumberFormat="1" applyFill="1" applyBorder="1" applyAlignment="1">
      <alignment horizontal="right"/>
    </xf>
    <xf numFmtId="0" fontId="0" fillId="3" borderId="11" xfId="0" applyFill="1" applyBorder="1" applyAlignment="1">
      <alignment horizontal="right"/>
    </xf>
    <xf numFmtId="0" fontId="2" fillId="2" borderId="1" xfId="0" applyFont="1" applyFill="1" applyBorder="1"/>
    <xf numFmtId="0" fontId="0" fillId="3" borderId="4" xfId="0" applyFill="1" applyBorder="1"/>
    <xf numFmtId="2" fontId="0" fillId="3" borderId="5" xfId="0" applyNumberFormat="1" applyFill="1" applyBorder="1" applyAlignment="1">
      <alignment horizontal="right"/>
    </xf>
    <xf numFmtId="0" fontId="0" fillId="3" borderId="7" xfId="0" applyFill="1" applyBorder="1"/>
    <xf numFmtId="2" fontId="0" fillId="3" borderId="0" xfId="0" applyNumberFormat="1" applyFill="1" applyAlignment="1">
      <alignment horizontal="right"/>
    </xf>
    <xf numFmtId="0" fontId="0" fillId="3" borderId="9" xfId="0" applyFill="1" applyBorder="1"/>
    <xf numFmtId="2" fontId="0" fillId="3" borderId="10" xfId="0" applyNumberForma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164" fontId="0" fillId="3" borderId="6" xfId="0" applyNumberFormat="1" applyFill="1" applyBorder="1" applyAlignment="1">
      <alignment horizontal="right"/>
    </xf>
    <xf numFmtId="164" fontId="0" fillId="3" borderId="8" xfId="0" applyNumberFormat="1" applyFill="1" applyBorder="1" applyAlignment="1">
      <alignment horizontal="right"/>
    </xf>
    <xf numFmtId="164" fontId="0" fillId="3" borderId="11" xfId="0" applyNumberForma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5" fillId="4" borderId="12" xfId="0" applyFont="1" applyFill="1" applyBorder="1"/>
    <xf numFmtId="0" fontId="5" fillId="4" borderId="0" xfId="0" applyFont="1" applyFill="1"/>
    <xf numFmtId="1" fontId="5" fillId="4" borderId="0" xfId="4" applyNumberFormat="1" applyFill="1"/>
    <xf numFmtId="164" fontId="6" fillId="4" borderId="0" xfId="0" applyNumberFormat="1" applyFont="1" applyFill="1"/>
    <xf numFmtId="2" fontId="6" fillId="4" borderId="0" xfId="0" applyNumberFormat="1" applyFont="1" applyFill="1"/>
    <xf numFmtId="1" fontId="5" fillId="4" borderId="0" xfId="0" applyNumberFormat="1" applyFont="1" applyFill="1"/>
    <xf numFmtId="164" fontId="5" fillId="4" borderId="13" xfId="0" applyNumberFormat="1" applyFont="1" applyFill="1" applyBorder="1"/>
    <xf numFmtId="0" fontId="5" fillId="4" borderId="14" xfId="0" applyFont="1" applyFill="1" applyBorder="1"/>
    <xf numFmtId="0" fontId="5" fillId="4" borderId="15" xfId="0" applyFont="1" applyFill="1" applyBorder="1"/>
    <xf numFmtId="1" fontId="5" fillId="4" borderId="15" xfId="4" applyNumberFormat="1" applyFill="1" applyBorder="1"/>
    <xf numFmtId="164" fontId="6" fillId="4" borderId="15" xfId="0" applyNumberFormat="1" applyFont="1" applyFill="1" applyBorder="1"/>
    <xf numFmtId="2" fontId="6" fillId="4" borderId="15" xfId="0" applyNumberFormat="1" applyFont="1" applyFill="1" applyBorder="1"/>
    <xf numFmtId="1" fontId="5" fillId="4" borderId="15" xfId="0" applyNumberFormat="1" applyFont="1" applyFill="1" applyBorder="1"/>
    <xf numFmtId="164" fontId="5" fillId="4" borderId="16" xfId="0" applyNumberFormat="1" applyFont="1" applyFill="1" applyBorder="1"/>
    <xf numFmtId="0" fontId="3" fillId="0" borderId="0" xfId="0" applyFont="1" applyAlignment="1">
      <alignment horizontal="left" vertical="center"/>
    </xf>
    <xf numFmtId="0" fontId="7" fillId="3" borderId="7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1" fontId="5" fillId="3" borderId="0" xfId="0" applyNumberFormat="1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4" fontId="5" fillId="3" borderId="8" xfId="0" applyNumberFormat="1" applyFont="1" applyFill="1" applyBorder="1" applyAlignment="1">
      <alignment horizontal="center"/>
    </xf>
    <xf numFmtId="0" fontId="7" fillId="3" borderId="9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center"/>
    </xf>
    <xf numFmtId="1" fontId="5" fillId="3" borderId="10" xfId="0" applyNumberFormat="1" applyFont="1" applyFill="1" applyBorder="1" applyAlignment="1">
      <alignment horizontal="center"/>
    </xf>
    <xf numFmtId="164" fontId="5" fillId="3" borderId="10" xfId="0" applyNumberFormat="1" applyFont="1" applyFill="1" applyBorder="1" applyAlignment="1">
      <alignment horizontal="center"/>
    </xf>
    <xf numFmtId="164" fontId="5" fillId="3" borderId="1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5" xfId="0" applyFill="1" applyBorder="1"/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0" xfId="0" applyFill="1" applyBorder="1"/>
    <xf numFmtId="0" fontId="0" fillId="4" borderId="11" xfId="0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1" fontId="0" fillId="4" borderId="5" xfId="0" applyNumberFormat="1" applyFill="1" applyBorder="1" applyAlignment="1">
      <alignment horizontal="center"/>
    </xf>
    <xf numFmtId="1" fontId="0" fillId="5" borderId="6" xfId="0" applyNumberFormat="1" applyFill="1" applyBorder="1" applyAlignment="1">
      <alignment horizontal="center"/>
    </xf>
    <xf numFmtId="164" fontId="0" fillId="4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5" borderId="8" xfId="0" applyNumberFormat="1" applyFill="1" applyBorder="1" applyAlignment="1">
      <alignment horizontal="center"/>
    </xf>
    <xf numFmtId="164" fontId="0" fillId="4" borderId="10" xfId="0" applyNumberFormat="1" applyFill="1" applyBorder="1" applyAlignment="1">
      <alignment horizontal="center"/>
    </xf>
    <xf numFmtId="1" fontId="0" fillId="4" borderId="10" xfId="0" applyNumberFormat="1" applyFill="1" applyBorder="1" applyAlignment="1">
      <alignment horizontal="center"/>
    </xf>
    <xf numFmtId="1" fontId="0" fillId="5" borderId="11" xfId="0" applyNumberFormat="1" applyFill="1" applyBorder="1" applyAlignment="1">
      <alignment horizontal="center"/>
    </xf>
    <xf numFmtId="0" fontId="8" fillId="0" borderId="0" xfId="0" applyFont="1" applyAlignment="1">
      <alignment horizontal="left" vertical="center" readingOrder="1"/>
    </xf>
    <xf numFmtId="0" fontId="0" fillId="3" borderId="5" xfId="0" applyFill="1" applyBorder="1"/>
    <xf numFmtId="0" fontId="0" fillId="3" borderId="0" xfId="0" applyFill="1"/>
    <xf numFmtId="0" fontId="0" fillId="3" borderId="10" xfId="0" applyFill="1" applyBorder="1"/>
    <xf numFmtId="0" fontId="2" fillId="2" borderId="0" xfId="0" applyFont="1" applyFill="1" applyAlignment="1">
      <alignment horizontal="right"/>
    </xf>
    <xf numFmtId="0" fontId="9" fillId="0" borderId="0" xfId="0" applyFont="1"/>
    <xf numFmtId="1" fontId="9" fillId="0" borderId="0" xfId="0" applyNumberFormat="1" applyFont="1"/>
    <xf numFmtId="0" fontId="10" fillId="2" borderId="1" xfId="0" applyFont="1" applyFill="1" applyBorder="1" applyAlignment="1">
      <alignment horizontal="center" vertical="center" wrapText="1"/>
    </xf>
    <xf numFmtId="43" fontId="10" fillId="2" borderId="2" xfId="1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right" vertical="center" wrapText="1"/>
    </xf>
    <xf numFmtId="9" fontId="10" fillId="2" borderId="2" xfId="3" applyFont="1" applyFill="1" applyBorder="1" applyAlignment="1">
      <alignment horizontal="right" vertical="center" wrapText="1"/>
    </xf>
    <xf numFmtId="0" fontId="10" fillId="2" borderId="3" xfId="0" applyFont="1" applyFill="1" applyBorder="1" applyAlignment="1">
      <alignment horizontal="right" vertical="center" wrapText="1"/>
    </xf>
    <xf numFmtId="0" fontId="0" fillId="4" borderId="4" xfId="0" quotePrefix="1" applyFill="1" applyBorder="1" applyAlignment="1">
      <alignment horizontal="left"/>
    </xf>
    <xf numFmtId="43" fontId="11" fillId="4" borderId="5" xfId="1" applyFont="1" applyFill="1" applyBorder="1"/>
    <xf numFmtId="43" fontId="0" fillId="4" borderId="5" xfId="0" applyNumberFormat="1" applyFill="1" applyBorder="1"/>
    <xf numFmtId="169" fontId="0" fillId="4" borderId="5" xfId="0" applyNumberFormat="1" applyFill="1" applyBorder="1"/>
    <xf numFmtId="164" fontId="0" fillId="4" borderId="5" xfId="0" applyNumberFormat="1" applyFill="1" applyBorder="1"/>
    <xf numFmtId="2" fontId="0" fillId="4" borderId="5" xfId="0" applyNumberFormat="1" applyFill="1" applyBorder="1"/>
    <xf numFmtId="10" fontId="0" fillId="4" borderId="5" xfId="0" applyNumberFormat="1" applyFill="1" applyBorder="1"/>
    <xf numFmtId="0" fontId="0" fillId="4" borderId="6" xfId="0" applyFill="1" applyBorder="1"/>
    <xf numFmtId="0" fontId="0" fillId="4" borderId="7" xfId="0" applyFill="1" applyBorder="1"/>
    <xf numFmtId="43" fontId="11" fillId="4" borderId="0" xfId="1" applyFont="1" applyFill="1" applyBorder="1"/>
    <xf numFmtId="43" fontId="0" fillId="4" borderId="0" xfId="0" applyNumberFormat="1" applyFill="1"/>
    <xf numFmtId="169" fontId="0" fillId="4" borderId="0" xfId="0" applyNumberFormat="1" applyFill="1"/>
    <xf numFmtId="164" fontId="0" fillId="4" borderId="0" xfId="0" applyNumberFormat="1" applyFill="1"/>
    <xf numFmtId="2" fontId="0" fillId="4" borderId="0" xfId="0" applyNumberFormat="1" applyFill="1"/>
    <xf numFmtId="10" fontId="0" fillId="4" borderId="0" xfId="0" applyNumberFormat="1" applyFill="1"/>
    <xf numFmtId="0" fontId="0" fillId="4" borderId="8" xfId="0" applyFill="1" applyBorder="1"/>
    <xf numFmtId="0" fontId="0" fillId="4" borderId="7" xfId="0" quotePrefix="1" applyFill="1" applyBorder="1" applyAlignment="1">
      <alignment horizontal="left"/>
    </xf>
    <xf numFmtId="0" fontId="0" fillId="4" borderId="9" xfId="0" applyFill="1" applyBorder="1"/>
    <xf numFmtId="43" fontId="11" fillId="4" borderId="10" xfId="1" applyFont="1" applyFill="1" applyBorder="1"/>
    <xf numFmtId="43" fontId="0" fillId="4" borderId="10" xfId="0" applyNumberFormat="1" applyFill="1" applyBorder="1"/>
    <xf numFmtId="169" fontId="0" fillId="4" borderId="10" xfId="0" applyNumberFormat="1" applyFill="1" applyBorder="1"/>
    <xf numFmtId="164" fontId="0" fillId="4" borderId="10" xfId="0" applyNumberFormat="1" applyFill="1" applyBorder="1"/>
    <xf numFmtId="2" fontId="0" fillId="4" borderId="10" xfId="0" applyNumberFormat="1" applyFill="1" applyBorder="1"/>
    <xf numFmtId="10" fontId="0" fillId="4" borderId="10" xfId="0" applyNumberFormat="1" applyFill="1" applyBorder="1"/>
    <xf numFmtId="0" fontId="0" fillId="4" borderId="11" xfId="0" applyFill="1" applyBorder="1"/>
    <xf numFmtId="43" fontId="12" fillId="0" borderId="0" xfId="1" quotePrefix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9" fontId="12" fillId="0" borderId="0" xfId="3" quotePrefix="1" applyFont="1" applyFill="1" applyBorder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2" fontId="0" fillId="3" borderId="5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8" xfId="0" applyNumberFormat="1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0" fontId="2" fillId="6" borderId="3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right"/>
    </xf>
    <xf numFmtId="0" fontId="0" fillId="0" borderId="4" xfId="0" applyBorder="1"/>
    <xf numFmtId="0" fontId="0" fillId="0" borderId="5" xfId="0" applyBorder="1"/>
    <xf numFmtId="1" fontId="0" fillId="0" borderId="5" xfId="2" applyNumberFormat="1" applyFont="1" applyBorder="1" applyAlignment="1">
      <alignment horizontal="right"/>
    </xf>
    <xf numFmtId="2" fontId="0" fillId="0" borderId="5" xfId="2" applyNumberFormat="1" applyFon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center"/>
    </xf>
    <xf numFmtId="170" fontId="0" fillId="0" borderId="5" xfId="0" applyNumberFormat="1" applyBorder="1"/>
    <xf numFmtId="0" fontId="0" fillId="0" borderId="6" xfId="0" applyBorder="1"/>
    <xf numFmtId="0" fontId="0" fillId="0" borderId="7" xfId="0" applyBorder="1"/>
    <xf numFmtId="1" fontId="0" fillId="0" borderId="0" xfId="2" applyNumberFormat="1" applyFont="1" applyBorder="1" applyAlignment="1">
      <alignment horizontal="right"/>
    </xf>
    <xf numFmtId="2" fontId="0" fillId="0" borderId="0" xfId="2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70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1" fontId="0" fillId="0" borderId="10" xfId="2" applyNumberFormat="1" applyFont="1" applyBorder="1" applyAlignment="1">
      <alignment horizontal="right"/>
    </xf>
    <xf numFmtId="2" fontId="0" fillId="0" borderId="10" xfId="2" applyNumberFormat="1" applyFont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0" xfId="0" applyBorder="1" applyAlignment="1">
      <alignment horizontal="center"/>
    </xf>
    <xf numFmtId="170" fontId="0" fillId="0" borderId="10" xfId="0" applyNumberFormat="1" applyBorder="1"/>
    <xf numFmtId="0" fontId="0" fillId="0" borderId="11" xfId="0" applyBorder="1"/>
    <xf numFmtId="0" fontId="2" fillId="6" borderId="8" xfId="0" applyFont="1" applyFill="1" applyBorder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 vertical="center"/>
    </xf>
    <xf numFmtId="0" fontId="0" fillId="4" borderId="5" xfId="0" applyFill="1" applyBorder="1" applyAlignment="1">
      <alignment horizontal="left"/>
    </xf>
    <xf numFmtId="0" fontId="1" fillId="4" borderId="6" xfId="0" applyFont="1" applyFill="1" applyBorder="1" applyAlignment="1">
      <alignment horizontal="center"/>
    </xf>
    <xf numFmtId="0" fontId="0" fillId="4" borderId="0" xfId="0" applyFill="1" applyAlignment="1">
      <alignment horizontal="left"/>
    </xf>
    <xf numFmtId="0" fontId="1" fillId="4" borderId="8" xfId="0" applyFont="1" applyFill="1" applyBorder="1" applyAlignment="1">
      <alignment horizontal="center"/>
    </xf>
    <xf numFmtId="0" fontId="0" fillId="4" borderId="10" xfId="0" applyFill="1" applyBorder="1" applyAlignment="1">
      <alignment horizontal="left"/>
    </xf>
    <xf numFmtId="0" fontId="1" fillId="4" borderId="1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14" fillId="2" borderId="1" xfId="0" applyFont="1" applyFill="1" applyBorder="1"/>
    <xf numFmtId="0" fontId="14" fillId="2" borderId="2" xfId="0" applyFont="1" applyFill="1" applyBorder="1" applyAlignment="1">
      <alignment horizontal="right"/>
    </xf>
    <xf numFmtId="0" fontId="14" fillId="2" borderId="3" xfId="0" applyFont="1" applyFill="1" applyBorder="1" applyAlignment="1">
      <alignment horizontal="right"/>
    </xf>
    <xf numFmtId="171" fontId="0" fillId="0" borderId="5" xfId="0" applyNumberFormat="1" applyBorder="1"/>
    <xf numFmtId="171" fontId="0" fillId="0" borderId="6" xfId="0" applyNumberFormat="1" applyBorder="1"/>
    <xf numFmtId="171" fontId="0" fillId="0" borderId="0" xfId="0" applyNumberFormat="1"/>
    <xf numFmtId="171" fontId="0" fillId="0" borderId="8" xfId="0" applyNumberFormat="1" applyBorder="1"/>
    <xf numFmtId="171" fontId="0" fillId="0" borderId="10" xfId="0" applyNumberFormat="1" applyBorder="1"/>
    <xf numFmtId="171" fontId="0" fillId="0" borderId="11" xfId="0" applyNumberFormat="1" applyBorder="1"/>
    <xf numFmtId="0" fontId="14" fillId="2" borderId="0" xfId="0" applyFont="1" applyFill="1" applyBorder="1" applyAlignment="1">
      <alignment horizontal="right"/>
    </xf>
    <xf numFmtId="164" fontId="9" fillId="0" borderId="0" xfId="0" applyNumberFormat="1" applyFont="1"/>
    <xf numFmtId="0" fontId="2" fillId="2" borderId="17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3" fontId="5" fillId="0" borderId="5" xfId="0" applyNumberFormat="1" applyFont="1" applyBorder="1" applyAlignment="1">
      <alignment horizontal="center"/>
    </xf>
    <xf numFmtId="3" fontId="5" fillId="0" borderId="6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3" fontId="5" fillId="0" borderId="8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3" fontId="5" fillId="0" borderId="10" xfId="0" applyNumberFormat="1" applyFont="1" applyBorder="1" applyAlignment="1">
      <alignment horizontal="center"/>
    </xf>
    <xf numFmtId="3" fontId="5" fillId="0" borderId="1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9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3" fontId="0" fillId="3" borderId="5" xfId="0" applyNumberForma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0" fontId="0" fillId="8" borderId="8" xfId="0" applyFill="1" applyBorder="1" applyAlignment="1">
      <alignment horizontal="center"/>
    </xf>
    <xf numFmtId="0" fontId="5" fillId="3" borderId="0" xfId="0" applyFont="1" applyFill="1"/>
    <xf numFmtId="1" fontId="0" fillId="3" borderId="10" xfId="0" applyNumberFormat="1" applyFill="1" applyBorder="1" applyAlignment="1">
      <alignment horizontal="center"/>
    </xf>
    <xf numFmtId="3" fontId="0" fillId="3" borderId="10" xfId="0" applyNumberFormat="1" applyFill="1" applyBorder="1" applyAlignment="1">
      <alignment horizontal="center"/>
    </xf>
    <xf numFmtId="0" fontId="0" fillId="8" borderId="11" xfId="0" applyFill="1" applyBorder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Normal_State Database (1)" xfId="4" xr:uid="{23AA112E-FF8C-43EC-9392-B2AF137640BF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AA8A-10D9-4AAC-A615-5B8827D2A829}">
  <dimension ref="A1:F31"/>
  <sheetViews>
    <sheetView workbookViewId="0">
      <selection activeCell="G11" sqref="G11"/>
    </sheetView>
  </sheetViews>
  <sheetFormatPr defaultRowHeight="15" x14ac:dyDescent="0.25"/>
  <cols>
    <col min="6" max="6" width="9.14062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8" t="s">
        <v>9</v>
      </c>
    </row>
    <row r="2" spans="1:6" x14ac:dyDescent="0.25">
      <c r="A2" s="4">
        <v>1</v>
      </c>
      <c r="B2" s="5">
        <v>505.5</v>
      </c>
      <c r="C2" s="6">
        <v>2192</v>
      </c>
      <c r="D2" s="5">
        <v>16.399999999999999</v>
      </c>
      <c r="E2" s="7">
        <v>2.5</v>
      </c>
      <c r="F2" s="17" t="s">
        <v>5</v>
      </c>
    </row>
    <row r="3" spans="1:6" x14ac:dyDescent="0.25">
      <c r="A3" s="8">
        <v>2</v>
      </c>
      <c r="B3" s="9">
        <v>784.1</v>
      </c>
      <c r="C3" s="10">
        <v>3429</v>
      </c>
      <c r="D3" s="9">
        <v>24.7</v>
      </c>
      <c r="E3" s="11">
        <v>3.5</v>
      </c>
      <c r="F3" s="17" t="s">
        <v>6</v>
      </c>
    </row>
    <row r="4" spans="1:6" x14ac:dyDescent="0.25">
      <c r="A4" s="8">
        <v>3</v>
      </c>
      <c r="B4" s="9">
        <v>649</v>
      </c>
      <c r="C4" s="10">
        <v>2842</v>
      </c>
      <c r="D4" s="9">
        <v>17.7</v>
      </c>
      <c r="E4" s="11">
        <v>3.5</v>
      </c>
      <c r="F4" s="17" t="s">
        <v>7</v>
      </c>
    </row>
    <row r="5" spans="1:6" x14ac:dyDescent="0.25">
      <c r="A5" s="8">
        <v>4</v>
      </c>
      <c r="B5" s="9">
        <v>689.8</v>
      </c>
      <c r="C5" s="10">
        <v>2987</v>
      </c>
      <c r="D5" s="9">
        <v>20.3</v>
      </c>
      <c r="E5" s="11">
        <v>3.5</v>
      </c>
      <c r="F5" s="17" t="s">
        <v>8</v>
      </c>
    </row>
    <row r="6" spans="1:6" x14ac:dyDescent="0.25">
      <c r="A6" s="8">
        <v>5</v>
      </c>
      <c r="B6" s="9">
        <v>709.8</v>
      </c>
      <c r="C6" s="10">
        <v>3029</v>
      </c>
      <c r="D6" s="9">
        <v>22.2</v>
      </c>
      <c r="E6" s="11">
        <v>3</v>
      </c>
    </row>
    <row r="7" spans="1:6" x14ac:dyDescent="0.25">
      <c r="A7" s="8">
        <v>6</v>
      </c>
      <c r="B7" s="9">
        <v>590.20000000000005</v>
      </c>
      <c r="C7" s="10">
        <v>2616</v>
      </c>
      <c r="D7" s="9">
        <v>20.8</v>
      </c>
      <c r="E7" s="11">
        <v>2.5</v>
      </c>
    </row>
    <row r="8" spans="1:6" x14ac:dyDescent="0.25">
      <c r="A8" s="8">
        <v>7</v>
      </c>
      <c r="B8" s="9">
        <v>643.29999999999995</v>
      </c>
      <c r="C8" s="10">
        <v>2978</v>
      </c>
      <c r="D8" s="9">
        <v>17.3</v>
      </c>
      <c r="E8" s="11">
        <v>3</v>
      </c>
    </row>
    <row r="9" spans="1:6" x14ac:dyDescent="0.25">
      <c r="A9" s="8">
        <v>8</v>
      </c>
      <c r="B9" s="9">
        <v>789.7</v>
      </c>
      <c r="C9" s="10">
        <v>3595</v>
      </c>
      <c r="D9" s="9">
        <v>22.4</v>
      </c>
      <c r="E9" s="11">
        <v>3.5</v>
      </c>
    </row>
    <row r="10" spans="1:6" x14ac:dyDescent="0.25">
      <c r="A10" s="8">
        <v>9</v>
      </c>
      <c r="B10" s="9">
        <v>683</v>
      </c>
      <c r="C10" s="10">
        <v>2838</v>
      </c>
      <c r="D10" s="9">
        <v>27.4</v>
      </c>
      <c r="E10" s="11">
        <v>3</v>
      </c>
    </row>
    <row r="11" spans="1:6" x14ac:dyDescent="0.25">
      <c r="A11" s="8">
        <v>10</v>
      </c>
      <c r="B11" s="9">
        <v>544.29999999999995</v>
      </c>
      <c r="C11" s="10">
        <v>2591</v>
      </c>
      <c r="D11" s="9">
        <v>19.2</v>
      </c>
      <c r="E11" s="11">
        <v>2</v>
      </c>
    </row>
    <row r="12" spans="1:6" x14ac:dyDescent="0.25">
      <c r="A12" s="8">
        <v>11</v>
      </c>
      <c r="B12" s="9">
        <v>822.8</v>
      </c>
      <c r="C12" s="10">
        <v>3633</v>
      </c>
      <c r="D12" s="9">
        <v>26.9</v>
      </c>
      <c r="E12" s="11">
        <v>4</v>
      </c>
    </row>
    <row r="13" spans="1:6" x14ac:dyDescent="0.25">
      <c r="A13" s="8">
        <v>12</v>
      </c>
      <c r="B13" s="9">
        <v>637.70000000000005</v>
      </c>
      <c r="C13" s="10">
        <v>2822</v>
      </c>
      <c r="D13" s="9">
        <v>23.1</v>
      </c>
      <c r="E13" s="11">
        <v>3</v>
      </c>
    </row>
    <row r="14" spans="1:6" x14ac:dyDescent="0.25">
      <c r="A14" s="8">
        <v>13</v>
      </c>
      <c r="B14" s="9">
        <v>618.70000000000005</v>
      </c>
      <c r="C14" s="10">
        <v>2994</v>
      </c>
      <c r="D14" s="9">
        <v>20.399999999999999</v>
      </c>
      <c r="E14" s="11">
        <v>3</v>
      </c>
    </row>
    <row r="15" spans="1:6" x14ac:dyDescent="0.25">
      <c r="A15" s="8">
        <v>14</v>
      </c>
      <c r="B15" s="9">
        <v>619.29999999999995</v>
      </c>
      <c r="C15" s="10">
        <v>2696</v>
      </c>
      <c r="D15" s="9">
        <v>22.7</v>
      </c>
      <c r="E15" s="11">
        <v>3.5</v>
      </c>
    </row>
    <row r="16" spans="1:6" x14ac:dyDescent="0.25">
      <c r="A16" s="8">
        <v>15</v>
      </c>
      <c r="B16" s="9">
        <v>490.5</v>
      </c>
      <c r="C16" s="10">
        <v>2134</v>
      </c>
      <c r="D16" s="9">
        <v>13.4</v>
      </c>
      <c r="E16" s="11">
        <v>2.5</v>
      </c>
    </row>
    <row r="17" spans="1:5" x14ac:dyDescent="0.25">
      <c r="A17" s="8">
        <v>16</v>
      </c>
      <c r="B17" s="9">
        <v>675.1</v>
      </c>
      <c r="C17" s="10">
        <v>3076</v>
      </c>
      <c r="D17" s="9">
        <v>19.8</v>
      </c>
      <c r="E17" s="11">
        <v>3</v>
      </c>
    </row>
    <row r="18" spans="1:5" x14ac:dyDescent="0.25">
      <c r="A18" s="8">
        <v>17</v>
      </c>
      <c r="B18" s="9">
        <v>710.4</v>
      </c>
      <c r="C18" s="10">
        <v>3259</v>
      </c>
      <c r="D18" s="9">
        <v>20.8</v>
      </c>
      <c r="E18" s="11">
        <v>3.5</v>
      </c>
    </row>
    <row r="19" spans="1:5" x14ac:dyDescent="0.25">
      <c r="A19" s="8">
        <v>18</v>
      </c>
      <c r="B19" s="9">
        <v>674.7</v>
      </c>
      <c r="C19" s="10">
        <v>3162</v>
      </c>
      <c r="D19" s="9">
        <v>19.399999999999999</v>
      </c>
      <c r="E19" s="11">
        <v>4</v>
      </c>
    </row>
    <row r="20" spans="1:5" x14ac:dyDescent="0.25">
      <c r="A20" s="8">
        <v>19</v>
      </c>
      <c r="B20" s="9">
        <v>663.6</v>
      </c>
      <c r="C20" s="10">
        <v>2885</v>
      </c>
      <c r="D20" s="9">
        <v>23.2</v>
      </c>
      <c r="E20" s="11">
        <v>3</v>
      </c>
    </row>
    <row r="21" spans="1:5" x14ac:dyDescent="0.25">
      <c r="A21" s="8">
        <v>20</v>
      </c>
      <c r="B21" s="9">
        <v>606.6</v>
      </c>
      <c r="C21" s="10">
        <v>2550</v>
      </c>
      <c r="D21" s="9">
        <v>20.2</v>
      </c>
      <c r="E21" s="11">
        <v>3</v>
      </c>
    </row>
    <row r="22" spans="1:5" x14ac:dyDescent="0.25">
      <c r="A22" s="8">
        <v>21</v>
      </c>
      <c r="B22" s="9">
        <v>758.9</v>
      </c>
      <c r="C22" s="10">
        <v>3380</v>
      </c>
      <c r="D22" s="9">
        <v>19.600000000000001</v>
      </c>
      <c r="E22" s="11">
        <v>4.5</v>
      </c>
    </row>
    <row r="23" spans="1:5" x14ac:dyDescent="0.25">
      <c r="A23" s="8">
        <v>22</v>
      </c>
      <c r="B23" s="9">
        <v>723.7</v>
      </c>
      <c r="C23" s="10">
        <v>3131</v>
      </c>
      <c r="D23" s="9">
        <v>22.5</v>
      </c>
      <c r="E23" s="11">
        <v>3.5</v>
      </c>
    </row>
    <row r="24" spans="1:5" x14ac:dyDescent="0.25">
      <c r="A24" s="8">
        <v>23</v>
      </c>
      <c r="B24" s="9">
        <v>621.79999999999995</v>
      </c>
      <c r="C24" s="10">
        <v>2754</v>
      </c>
      <c r="D24" s="9">
        <v>19.2</v>
      </c>
      <c r="E24" s="11">
        <v>2.5</v>
      </c>
    </row>
    <row r="25" spans="1:5" x14ac:dyDescent="0.25">
      <c r="A25" s="8">
        <v>24</v>
      </c>
      <c r="B25" s="9">
        <v>622.4</v>
      </c>
      <c r="C25" s="10">
        <v>2710</v>
      </c>
      <c r="D25" s="9">
        <v>21.6</v>
      </c>
      <c r="E25" s="11">
        <v>3</v>
      </c>
    </row>
    <row r="26" spans="1:5" x14ac:dyDescent="0.25">
      <c r="A26" s="8">
        <v>25</v>
      </c>
      <c r="B26" s="9">
        <v>631.29999999999995</v>
      </c>
      <c r="C26" s="10">
        <v>2616</v>
      </c>
      <c r="D26" s="9">
        <v>20.8</v>
      </c>
      <c r="E26" s="11">
        <v>2.5</v>
      </c>
    </row>
    <row r="27" spans="1:5" x14ac:dyDescent="0.25">
      <c r="A27" s="8">
        <v>26</v>
      </c>
      <c r="B27" s="9">
        <v>574</v>
      </c>
      <c r="C27" s="10">
        <v>2608</v>
      </c>
      <c r="D27" s="9">
        <v>17.3</v>
      </c>
      <c r="E27" s="11">
        <v>3.5</v>
      </c>
    </row>
    <row r="28" spans="1:5" x14ac:dyDescent="0.25">
      <c r="A28" s="8">
        <v>27</v>
      </c>
      <c r="B28" s="9">
        <v>863.8</v>
      </c>
      <c r="C28" s="10">
        <v>3572</v>
      </c>
      <c r="D28" s="9">
        <v>29</v>
      </c>
      <c r="E28" s="11">
        <v>4</v>
      </c>
    </row>
    <row r="29" spans="1:5" x14ac:dyDescent="0.25">
      <c r="A29" s="8">
        <v>28</v>
      </c>
      <c r="B29" s="9">
        <v>652.70000000000005</v>
      </c>
      <c r="C29" s="10">
        <v>2924</v>
      </c>
      <c r="D29" s="9">
        <v>21.8</v>
      </c>
      <c r="E29" s="11">
        <v>2.5</v>
      </c>
    </row>
    <row r="30" spans="1:5" x14ac:dyDescent="0.25">
      <c r="A30" s="8">
        <v>29</v>
      </c>
      <c r="B30" s="9">
        <v>844.2</v>
      </c>
      <c r="C30" s="10">
        <v>3614</v>
      </c>
      <c r="D30" s="9">
        <v>25.5</v>
      </c>
      <c r="E30" s="11">
        <v>3.5</v>
      </c>
    </row>
    <row r="31" spans="1:5" x14ac:dyDescent="0.25">
      <c r="A31" s="12">
        <v>30</v>
      </c>
      <c r="B31" s="13">
        <v>629.9</v>
      </c>
      <c r="C31" s="14">
        <v>2600</v>
      </c>
      <c r="D31" s="13">
        <v>24.1</v>
      </c>
      <c r="E31" s="15">
        <v>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6A50E-CAF1-4A56-B84F-DAA4C05A13EE}">
  <dimension ref="A1:H33"/>
  <sheetViews>
    <sheetView workbookViewId="0">
      <selection activeCell="I12" sqref="I12"/>
    </sheetView>
  </sheetViews>
  <sheetFormatPr defaultRowHeight="15" x14ac:dyDescent="0.25"/>
  <cols>
    <col min="8" max="8" width="28" customWidth="1"/>
  </cols>
  <sheetData>
    <row r="1" spans="1:8" x14ac:dyDescent="0.25">
      <c r="A1" s="1" t="s">
        <v>0</v>
      </c>
      <c r="B1" s="19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3" t="s">
        <v>15</v>
      </c>
      <c r="H1" s="18" t="s">
        <v>9</v>
      </c>
    </row>
    <row r="2" spans="1:8" x14ac:dyDescent="0.25">
      <c r="A2" s="4">
        <v>1</v>
      </c>
      <c r="B2" s="6">
        <v>1796</v>
      </c>
      <c r="C2" s="6">
        <v>4790</v>
      </c>
      <c r="D2" s="6">
        <v>4</v>
      </c>
      <c r="E2" s="6">
        <v>2</v>
      </c>
      <c r="F2" s="6">
        <v>8</v>
      </c>
      <c r="G2" s="20">
        <v>0</v>
      </c>
      <c r="H2" s="23" t="s">
        <v>16</v>
      </c>
    </row>
    <row r="3" spans="1:8" x14ac:dyDescent="0.25">
      <c r="A3" s="8">
        <v>2</v>
      </c>
      <c r="B3" s="10">
        <v>1544</v>
      </c>
      <c r="C3" s="10">
        <v>4720</v>
      </c>
      <c r="D3" s="10">
        <v>3</v>
      </c>
      <c r="E3" s="10">
        <v>2</v>
      </c>
      <c r="F3" s="10">
        <v>12</v>
      </c>
      <c r="G3" s="21">
        <v>0</v>
      </c>
      <c r="H3" s="23" t="s">
        <v>17</v>
      </c>
    </row>
    <row r="4" spans="1:8" x14ac:dyDescent="0.25">
      <c r="A4" s="8">
        <v>3</v>
      </c>
      <c r="B4" s="10">
        <v>2094</v>
      </c>
      <c r="C4" s="10">
        <v>5940</v>
      </c>
      <c r="D4" s="10">
        <v>4</v>
      </c>
      <c r="E4" s="10">
        <v>2</v>
      </c>
      <c r="F4" s="10">
        <v>2</v>
      </c>
      <c r="G4" s="21">
        <v>0</v>
      </c>
      <c r="H4" s="23" t="s">
        <v>18</v>
      </c>
    </row>
    <row r="5" spans="1:8" x14ac:dyDescent="0.25">
      <c r="A5" s="8">
        <v>4</v>
      </c>
      <c r="B5" s="10">
        <v>1968</v>
      </c>
      <c r="C5" s="10">
        <v>5720</v>
      </c>
      <c r="D5" s="10">
        <v>4</v>
      </c>
      <c r="E5" s="10">
        <v>2</v>
      </c>
      <c r="F5" s="10">
        <v>34</v>
      </c>
      <c r="G5" s="21">
        <v>1</v>
      </c>
      <c r="H5" s="23" t="s">
        <v>19</v>
      </c>
    </row>
    <row r="6" spans="1:8" x14ac:dyDescent="0.25">
      <c r="A6" s="8">
        <v>5</v>
      </c>
      <c r="B6" s="10">
        <v>1567</v>
      </c>
      <c r="C6" s="10">
        <v>3660</v>
      </c>
      <c r="D6" s="10">
        <v>3</v>
      </c>
      <c r="E6" s="10">
        <v>2</v>
      </c>
      <c r="F6" s="10">
        <v>38</v>
      </c>
      <c r="G6" s="21">
        <v>1</v>
      </c>
      <c r="H6" s="23" t="s">
        <v>20</v>
      </c>
    </row>
    <row r="7" spans="1:8" x14ac:dyDescent="0.25">
      <c r="A7" s="8">
        <v>6</v>
      </c>
      <c r="B7" s="10">
        <v>1878</v>
      </c>
      <c r="C7" s="10">
        <v>5000</v>
      </c>
      <c r="D7" s="10">
        <v>4</v>
      </c>
      <c r="E7" s="10">
        <v>2</v>
      </c>
      <c r="F7" s="10">
        <v>31</v>
      </c>
      <c r="G7" s="21">
        <v>1</v>
      </c>
      <c r="H7" s="16" t="s">
        <v>21</v>
      </c>
    </row>
    <row r="8" spans="1:8" x14ac:dyDescent="0.25">
      <c r="A8" s="8">
        <v>7</v>
      </c>
      <c r="B8" s="10">
        <v>949</v>
      </c>
      <c r="C8" s="10">
        <v>2990</v>
      </c>
      <c r="D8" s="10">
        <v>2</v>
      </c>
      <c r="E8" s="10">
        <v>1</v>
      </c>
      <c r="F8" s="10">
        <v>19</v>
      </c>
      <c r="G8" s="21">
        <v>0</v>
      </c>
    </row>
    <row r="9" spans="1:8" x14ac:dyDescent="0.25">
      <c r="A9" s="8">
        <v>8</v>
      </c>
      <c r="B9" s="10">
        <v>910</v>
      </c>
      <c r="C9" s="10">
        <v>2610</v>
      </c>
      <c r="D9" s="10">
        <v>2</v>
      </c>
      <c r="E9" s="10">
        <v>1</v>
      </c>
      <c r="F9" s="10">
        <v>48</v>
      </c>
      <c r="G9" s="21">
        <v>0</v>
      </c>
    </row>
    <row r="10" spans="1:8" x14ac:dyDescent="0.25">
      <c r="A10" s="8">
        <v>9</v>
      </c>
      <c r="B10" s="10">
        <v>1774</v>
      </c>
      <c r="C10" s="10">
        <v>5650</v>
      </c>
      <c r="D10" s="10">
        <v>4</v>
      </c>
      <c r="E10" s="10">
        <v>2</v>
      </c>
      <c r="F10" s="10">
        <v>42</v>
      </c>
      <c r="G10" s="21">
        <v>0</v>
      </c>
    </row>
    <row r="11" spans="1:8" x14ac:dyDescent="0.25">
      <c r="A11" s="8">
        <v>10</v>
      </c>
      <c r="B11" s="10">
        <v>1187</v>
      </c>
      <c r="C11" s="10">
        <v>3570</v>
      </c>
      <c r="D11" s="10">
        <v>2</v>
      </c>
      <c r="E11" s="10">
        <v>1</v>
      </c>
      <c r="F11" s="10">
        <v>4</v>
      </c>
      <c r="G11" s="21">
        <v>1</v>
      </c>
    </row>
    <row r="12" spans="1:8" x14ac:dyDescent="0.25">
      <c r="A12" s="8">
        <v>11</v>
      </c>
      <c r="B12" s="10">
        <v>1113</v>
      </c>
      <c r="C12" s="10">
        <v>2930</v>
      </c>
      <c r="D12" s="10">
        <v>3</v>
      </c>
      <c r="E12" s="10">
        <v>2</v>
      </c>
      <c r="F12" s="10">
        <v>15</v>
      </c>
      <c r="G12" s="21">
        <v>1</v>
      </c>
    </row>
    <row r="13" spans="1:8" x14ac:dyDescent="0.25">
      <c r="A13" s="8">
        <v>12</v>
      </c>
      <c r="B13" s="10">
        <v>671</v>
      </c>
      <c r="C13" s="10">
        <v>1280</v>
      </c>
      <c r="D13" s="10">
        <v>2</v>
      </c>
      <c r="E13" s="10">
        <v>1</v>
      </c>
      <c r="F13" s="10">
        <v>31</v>
      </c>
      <c r="G13" s="21">
        <v>1</v>
      </c>
    </row>
    <row r="14" spans="1:8" x14ac:dyDescent="0.25">
      <c r="A14" s="8">
        <v>13</v>
      </c>
      <c r="B14" s="10">
        <v>1678</v>
      </c>
      <c r="C14" s="10">
        <v>4880</v>
      </c>
      <c r="D14" s="10">
        <v>3</v>
      </c>
      <c r="E14" s="10">
        <v>2</v>
      </c>
      <c r="F14" s="10">
        <v>42</v>
      </c>
      <c r="G14" s="21">
        <v>1</v>
      </c>
    </row>
    <row r="15" spans="1:8" x14ac:dyDescent="0.25">
      <c r="A15" s="8">
        <v>14</v>
      </c>
      <c r="B15" s="10">
        <v>710</v>
      </c>
      <c r="C15" s="10">
        <v>1620</v>
      </c>
      <c r="D15" s="10">
        <v>1</v>
      </c>
      <c r="E15" s="10">
        <v>2</v>
      </c>
      <c r="F15" s="10">
        <v>35</v>
      </c>
      <c r="G15" s="21">
        <v>1</v>
      </c>
    </row>
    <row r="16" spans="1:8" x14ac:dyDescent="0.25">
      <c r="A16" s="8">
        <v>15</v>
      </c>
      <c r="B16" s="10">
        <v>678</v>
      </c>
      <c r="C16" s="10">
        <v>1820</v>
      </c>
      <c r="D16" s="10">
        <v>2</v>
      </c>
      <c r="E16" s="10">
        <v>1</v>
      </c>
      <c r="F16" s="10">
        <v>17</v>
      </c>
      <c r="G16" s="21">
        <v>1</v>
      </c>
    </row>
    <row r="17" spans="1:7" x14ac:dyDescent="0.25">
      <c r="A17" s="8">
        <v>16</v>
      </c>
      <c r="B17" s="10">
        <v>1585</v>
      </c>
      <c r="C17" s="10">
        <v>4530</v>
      </c>
      <c r="D17" s="10">
        <v>2</v>
      </c>
      <c r="E17" s="10">
        <v>2</v>
      </c>
      <c r="F17" s="10">
        <v>5</v>
      </c>
      <c r="G17" s="21">
        <v>1</v>
      </c>
    </row>
    <row r="18" spans="1:7" x14ac:dyDescent="0.25">
      <c r="A18" s="8">
        <v>17</v>
      </c>
      <c r="B18" s="10">
        <v>842</v>
      </c>
      <c r="C18" s="10">
        <v>2570</v>
      </c>
      <c r="D18" s="10">
        <v>2</v>
      </c>
      <c r="E18" s="10">
        <v>1</v>
      </c>
      <c r="F18" s="10">
        <v>13</v>
      </c>
      <c r="G18" s="21">
        <v>0</v>
      </c>
    </row>
    <row r="19" spans="1:7" x14ac:dyDescent="0.25">
      <c r="A19" s="8">
        <v>18</v>
      </c>
      <c r="B19" s="10">
        <v>1539</v>
      </c>
      <c r="C19" s="10">
        <v>4690</v>
      </c>
      <c r="D19" s="10">
        <v>2</v>
      </c>
      <c r="E19" s="10">
        <v>2</v>
      </c>
      <c r="F19" s="10">
        <v>45</v>
      </c>
      <c r="G19" s="21">
        <v>0</v>
      </c>
    </row>
    <row r="20" spans="1:7" x14ac:dyDescent="0.25">
      <c r="A20" s="8">
        <v>19</v>
      </c>
      <c r="B20" s="10">
        <v>433</v>
      </c>
      <c r="C20" s="10">
        <v>1280</v>
      </c>
      <c r="D20" s="10">
        <v>1</v>
      </c>
      <c r="E20" s="10">
        <v>1</v>
      </c>
      <c r="F20" s="10">
        <v>45</v>
      </c>
      <c r="G20" s="21">
        <v>1</v>
      </c>
    </row>
    <row r="21" spans="1:7" x14ac:dyDescent="0.25">
      <c r="A21" s="8">
        <v>20</v>
      </c>
      <c r="B21" s="10">
        <v>1268</v>
      </c>
      <c r="C21" s="10">
        <v>4100</v>
      </c>
      <c r="D21" s="10">
        <v>3</v>
      </c>
      <c r="E21" s="10">
        <v>1</v>
      </c>
      <c r="F21" s="10">
        <v>27</v>
      </c>
      <c r="G21" s="21">
        <v>0</v>
      </c>
    </row>
    <row r="22" spans="1:7" x14ac:dyDescent="0.25">
      <c r="A22" s="8">
        <v>21</v>
      </c>
      <c r="B22" s="10">
        <v>1251</v>
      </c>
      <c r="C22" s="10">
        <v>3530</v>
      </c>
      <c r="D22" s="10">
        <v>2</v>
      </c>
      <c r="E22" s="10">
        <v>2</v>
      </c>
      <c r="F22" s="10">
        <v>41</v>
      </c>
      <c r="G22" s="21">
        <v>1</v>
      </c>
    </row>
    <row r="23" spans="1:7" x14ac:dyDescent="0.25">
      <c r="A23" s="8">
        <v>22</v>
      </c>
      <c r="B23" s="10">
        <v>1094</v>
      </c>
      <c r="C23" s="10">
        <v>3660</v>
      </c>
      <c r="D23" s="10">
        <v>2</v>
      </c>
      <c r="E23" s="10">
        <v>2</v>
      </c>
      <c r="F23" s="10">
        <v>33</v>
      </c>
      <c r="G23" s="21">
        <v>0</v>
      </c>
    </row>
    <row r="24" spans="1:7" x14ac:dyDescent="0.25">
      <c r="A24" s="8">
        <v>23</v>
      </c>
      <c r="B24" s="10">
        <v>638</v>
      </c>
      <c r="C24" s="10">
        <v>1110</v>
      </c>
      <c r="D24" s="10">
        <v>1</v>
      </c>
      <c r="E24" s="10">
        <v>2</v>
      </c>
      <c r="F24" s="10">
        <v>50</v>
      </c>
      <c r="G24" s="21">
        <v>1</v>
      </c>
    </row>
    <row r="25" spans="1:7" x14ac:dyDescent="0.25">
      <c r="A25" s="8">
        <v>24</v>
      </c>
      <c r="B25" s="10">
        <v>999</v>
      </c>
      <c r="C25" s="10">
        <v>2670</v>
      </c>
      <c r="D25" s="10">
        <v>2</v>
      </c>
      <c r="E25" s="10">
        <v>2</v>
      </c>
      <c r="F25" s="10">
        <v>39</v>
      </c>
      <c r="G25" s="21">
        <v>1</v>
      </c>
    </row>
    <row r="26" spans="1:7" x14ac:dyDescent="0.25">
      <c r="A26" s="8">
        <v>25</v>
      </c>
      <c r="B26" s="10">
        <v>653</v>
      </c>
      <c r="C26" s="10">
        <v>1100</v>
      </c>
      <c r="D26" s="10">
        <v>1</v>
      </c>
      <c r="E26" s="10">
        <v>1</v>
      </c>
      <c r="F26" s="10">
        <v>20</v>
      </c>
      <c r="G26" s="21">
        <v>1</v>
      </c>
    </row>
    <row r="27" spans="1:7" x14ac:dyDescent="0.25">
      <c r="A27" s="8">
        <v>26</v>
      </c>
      <c r="B27" s="10">
        <v>1914</v>
      </c>
      <c r="C27" s="10">
        <v>5810</v>
      </c>
      <c r="D27" s="10">
        <v>4</v>
      </c>
      <c r="E27" s="10">
        <v>3</v>
      </c>
      <c r="F27" s="10">
        <v>17</v>
      </c>
      <c r="G27" s="21">
        <v>0</v>
      </c>
    </row>
    <row r="28" spans="1:7" x14ac:dyDescent="0.25">
      <c r="A28" s="8">
        <v>27</v>
      </c>
      <c r="B28" s="10">
        <v>772</v>
      </c>
      <c r="C28" s="10">
        <v>2560</v>
      </c>
      <c r="D28" s="10">
        <v>2</v>
      </c>
      <c r="E28" s="10">
        <v>2</v>
      </c>
      <c r="F28" s="10">
        <v>24</v>
      </c>
      <c r="G28" s="21">
        <v>0</v>
      </c>
    </row>
    <row r="29" spans="1:7" x14ac:dyDescent="0.25">
      <c r="A29" s="8">
        <v>28</v>
      </c>
      <c r="B29" s="10">
        <v>890</v>
      </c>
      <c r="C29" s="10">
        <v>2340</v>
      </c>
      <c r="D29" s="10">
        <v>3</v>
      </c>
      <c r="E29" s="10">
        <v>1</v>
      </c>
      <c r="F29" s="10">
        <v>5</v>
      </c>
      <c r="G29" s="21">
        <v>0</v>
      </c>
    </row>
    <row r="30" spans="1:7" x14ac:dyDescent="0.25">
      <c r="A30" s="8">
        <v>29</v>
      </c>
      <c r="B30" s="10">
        <v>1282</v>
      </c>
      <c r="C30" s="10">
        <v>3690</v>
      </c>
      <c r="D30" s="10">
        <v>2</v>
      </c>
      <c r="E30" s="10">
        <v>2</v>
      </c>
      <c r="F30" s="10">
        <v>15</v>
      </c>
      <c r="G30" s="21">
        <v>1</v>
      </c>
    </row>
    <row r="31" spans="1:7" x14ac:dyDescent="0.25">
      <c r="A31" s="8">
        <v>30</v>
      </c>
      <c r="B31" s="10">
        <v>1264</v>
      </c>
      <c r="C31" s="10">
        <v>3580</v>
      </c>
      <c r="D31" s="10">
        <v>3</v>
      </c>
      <c r="E31" s="10">
        <v>2</v>
      </c>
      <c r="F31" s="10">
        <v>27</v>
      </c>
      <c r="G31" s="21">
        <v>0</v>
      </c>
    </row>
    <row r="32" spans="1:7" x14ac:dyDescent="0.25">
      <c r="A32" s="8">
        <v>31</v>
      </c>
      <c r="B32" s="10">
        <v>1162</v>
      </c>
      <c r="C32" s="10">
        <v>3610</v>
      </c>
      <c r="D32" s="10">
        <v>2</v>
      </c>
      <c r="E32" s="10">
        <v>1</v>
      </c>
      <c r="F32" s="10">
        <v>8</v>
      </c>
      <c r="G32" s="21">
        <v>1</v>
      </c>
    </row>
    <row r="33" spans="1:7" x14ac:dyDescent="0.25">
      <c r="A33" s="12">
        <v>32</v>
      </c>
      <c r="B33" s="14">
        <v>1447</v>
      </c>
      <c r="C33" s="14">
        <v>3960</v>
      </c>
      <c r="D33" s="14">
        <v>3</v>
      </c>
      <c r="E33" s="14">
        <v>2</v>
      </c>
      <c r="F33" s="14">
        <v>17</v>
      </c>
      <c r="G33" s="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A687A-050F-4D05-B589-6F4857E8D430}">
  <dimension ref="A1:F31"/>
  <sheetViews>
    <sheetView workbookViewId="0">
      <selection activeCell="F2" sqref="F2:F5"/>
    </sheetView>
  </sheetViews>
  <sheetFormatPr defaultRowHeight="15" x14ac:dyDescent="0.25"/>
  <sheetData>
    <row r="1" spans="1:6" x14ac:dyDescent="0.25">
      <c r="A1" s="1" t="s">
        <v>0</v>
      </c>
      <c r="B1" s="24" t="s">
        <v>22</v>
      </c>
      <c r="C1" s="24" t="s">
        <v>23</v>
      </c>
      <c r="D1" s="24" t="s">
        <v>24</v>
      </c>
      <c r="E1" s="25" t="s">
        <v>1</v>
      </c>
    </row>
    <row r="2" spans="1:6" x14ac:dyDescent="0.25">
      <c r="A2" s="4">
        <v>1</v>
      </c>
      <c r="B2" s="26">
        <v>1015</v>
      </c>
      <c r="C2" s="27">
        <v>72.900000000000006</v>
      </c>
      <c r="D2" s="27">
        <v>102.2</v>
      </c>
      <c r="E2" s="28">
        <v>1146</v>
      </c>
      <c r="F2" s="23" t="s">
        <v>25</v>
      </c>
    </row>
    <row r="3" spans="1:6" x14ac:dyDescent="0.25">
      <c r="A3" s="8">
        <v>2</v>
      </c>
      <c r="B3" s="29">
        <v>903</v>
      </c>
      <c r="C3" s="30">
        <v>56.6</v>
      </c>
      <c r="D3" s="30">
        <v>99.6</v>
      </c>
      <c r="E3" s="31">
        <v>1261</v>
      </c>
      <c r="F3" s="23" t="s">
        <v>26</v>
      </c>
    </row>
    <row r="4" spans="1:6" x14ac:dyDescent="0.25">
      <c r="A4" s="8">
        <v>3</v>
      </c>
      <c r="B4" s="29">
        <v>1293</v>
      </c>
      <c r="C4" s="30">
        <v>80.400000000000006</v>
      </c>
      <c r="D4" s="30">
        <v>107.1</v>
      </c>
      <c r="E4" s="31">
        <v>1408</v>
      </c>
      <c r="F4" s="23" t="s">
        <v>27</v>
      </c>
    </row>
    <row r="5" spans="1:6" x14ac:dyDescent="0.25">
      <c r="A5" s="8">
        <v>4</v>
      </c>
      <c r="B5" s="29">
        <v>1479</v>
      </c>
      <c r="C5" s="30">
        <v>93.4</v>
      </c>
      <c r="D5" s="30">
        <v>110.1</v>
      </c>
      <c r="E5" s="31">
        <v>729</v>
      </c>
      <c r="F5" s="23" t="s">
        <v>28</v>
      </c>
    </row>
    <row r="6" spans="1:6" x14ac:dyDescent="0.25">
      <c r="A6" s="8">
        <v>5</v>
      </c>
      <c r="B6" s="29">
        <v>1413</v>
      </c>
      <c r="C6" s="30">
        <v>84.5</v>
      </c>
      <c r="D6" s="30">
        <v>93.5</v>
      </c>
      <c r="E6" s="31">
        <v>1227</v>
      </c>
    </row>
    <row r="7" spans="1:6" x14ac:dyDescent="0.25">
      <c r="A7" s="8">
        <v>6</v>
      </c>
      <c r="B7" s="29">
        <v>1207</v>
      </c>
      <c r="C7" s="30">
        <v>69.8</v>
      </c>
      <c r="D7" s="30">
        <v>95.6</v>
      </c>
      <c r="E7" s="31">
        <v>966</v>
      </c>
    </row>
    <row r="8" spans="1:6" x14ac:dyDescent="0.25">
      <c r="A8" s="8">
        <v>7</v>
      </c>
      <c r="B8" s="29">
        <v>999</v>
      </c>
      <c r="C8" s="30">
        <v>77.400000000000006</v>
      </c>
      <c r="D8" s="30">
        <v>102.5</v>
      </c>
      <c r="E8" s="31">
        <v>1400</v>
      </c>
    </row>
    <row r="9" spans="1:6" x14ac:dyDescent="0.25">
      <c r="A9" s="8">
        <v>8</v>
      </c>
      <c r="B9" s="29">
        <v>1172</v>
      </c>
      <c r="C9" s="30">
        <v>75.3</v>
      </c>
      <c r="D9" s="30">
        <v>94.8</v>
      </c>
      <c r="E9" s="31">
        <v>1277</v>
      </c>
    </row>
    <row r="10" spans="1:6" x14ac:dyDescent="0.25">
      <c r="A10" s="8">
        <v>9</v>
      </c>
      <c r="B10" s="29">
        <v>1110</v>
      </c>
      <c r="C10" s="30">
        <v>75.5</v>
      </c>
      <c r="D10" s="30">
        <v>101</v>
      </c>
      <c r="E10" s="31">
        <v>1137</v>
      </c>
    </row>
    <row r="11" spans="1:6" x14ac:dyDescent="0.25">
      <c r="A11" s="8">
        <v>10</v>
      </c>
      <c r="B11" s="29">
        <v>1270</v>
      </c>
      <c r="C11" s="30">
        <v>63.6</v>
      </c>
      <c r="D11" s="30">
        <v>95.5</v>
      </c>
      <c r="E11" s="31">
        <v>954</v>
      </c>
    </row>
    <row r="12" spans="1:6" x14ac:dyDescent="0.25">
      <c r="A12" s="8">
        <v>11</v>
      </c>
      <c r="B12" s="29">
        <v>1448</v>
      </c>
      <c r="C12" s="30">
        <v>84.5</v>
      </c>
      <c r="D12" s="30">
        <v>100</v>
      </c>
      <c r="E12" s="31">
        <v>856</v>
      </c>
    </row>
    <row r="13" spans="1:6" x14ac:dyDescent="0.25">
      <c r="A13" s="8">
        <v>12</v>
      </c>
      <c r="B13" s="29">
        <v>1327</v>
      </c>
      <c r="C13" s="30">
        <v>74.599999999999994</v>
      </c>
      <c r="D13" s="30">
        <v>110.4</v>
      </c>
      <c r="E13" s="31">
        <v>892</v>
      </c>
    </row>
    <row r="14" spans="1:6" x14ac:dyDescent="0.25">
      <c r="A14" s="8">
        <v>13</v>
      </c>
      <c r="B14" s="29">
        <v>910</v>
      </c>
      <c r="C14" s="30">
        <v>60.4</v>
      </c>
      <c r="D14" s="30">
        <v>98.2</v>
      </c>
      <c r="E14" s="31">
        <v>1024</v>
      </c>
    </row>
    <row r="15" spans="1:6" x14ac:dyDescent="0.25">
      <c r="A15" s="8">
        <v>14</v>
      </c>
      <c r="B15" s="29">
        <v>455</v>
      </c>
      <c r="C15" s="30">
        <v>8.1999999999999993</v>
      </c>
      <c r="D15" s="30">
        <v>86.1</v>
      </c>
      <c r="E15" s="31">
        <v>1028</v>
      </c>
    </row>
    <row r="16" spans="1:6" x14ac:dyDescent="0.25">
      <c r="A16" s="8">
        <v>15</v>
      </c>
      <c r="B16" s="29">
        <v>1052</v>
      </c>
      <c r="C16" s="30">
        <v>48.6</v>
      </c>
      <c r="D16" s="30">
        <v>86.3</v>
      </c>
      <c r="E16" s="31">
        <v>1170</v>
      </c>
    </row>
    <row r="17" spans="1:5" x14ac:dyDescent="0.25">
      <c r="A17" s="8">
        <v>16</v>
      </c>
      <c r="B17" s="29">
        <v>1125</v>
      </c>
      <c r="C17" s="30">
        <v>49.6</v>
      </c>
      <c r="D17" s="30">
        <v>94.7</v>
      </c>
      <c r="E17" s="31">
        <v>984</v>
      </c>
    </row>
    <row r="18" spans="1:5" x14ac:dyDescent="0.25">
      <c r="A18" s="8">
        <v>17</v>
      </c>
      <c r="B18" s="29">
        <v>915</v>
      </c>
      <c r="C18" s="30">
        <v>57.4</v>
      </c>
      <c r="D18" s="30">
        <v>96.5</v>
      </c>
      <c r="E18" s="31">
        <v>1200</v>
      </c>
    </row>
    <row r="19" spans="1:5" x14ac:dyDescent="0.25">
      <c r="A19" s="8">
        <v>18</v>
      </c>
      <c r="B19" s="29">
        <v>1079</v>
      </c>
      <c r="C19" s="30">
        <v>48.5</v>
      </c>
      <c r="D19" s="30">
        <v>90.6</v>
      </c>
      <c r="E19" s="31">
        <v>1725</v>
      </c>
    </row>
    <row r="20" spans="1:5" x14ac:dyDescent="0.25">
      <c r="A20" s="8">
        <v>19</v>
      </c>
      <c r="B20" s="29">
        <v>1493</v>
      </c>
      <c r="C20" s="30">
        <v>102.1</v>
      </c>
      <c r="D20" s="30">
        <v>89.6</v>
      </c>
      <c r="E20" s="31">
        <v>1588</v>
      </c>
    </row>
    <row r="21" spans="1:5" x14ac:dyDescent="0.25">
      <c r="A21" s="8">
        <v>20</v>
      </c>
      <c r="B21" s="29">
        <v>885</v>
      </c>
      <c r="C21" s="30">
        <v>55.2</v>
      </c>
      <c r="D21" s="30">
        <v>101.1</v>
      </c>
      <c r="E21" s="31">
        <v>1298</v>
      </c>
    </row>
    <row r="22" spans="1:5" x14ac:dyDescent="0.25">
      <c r="A22" s="8">
        <v>21</v>
      </c>
      <c r="B22" s="29">
        <v>1069</v>
      </c>
      <c r="C22" s="30">
        <v>56</v>
      </c>
      <c r="D22" s="30">
        <v>96.8</v>
      </c>
      <c r="E22" s="31">
        <v>1359</v>
      </c>
    </row>
    <row r="23" spans="1:5" x14ac:dyDescent="0.25">
      <c r="A23" s="8">
        <v>22</v>
      </c>
      <c r="B23" s="29">
        <v>1220</v>
      </c>
      <c r="C23" s="30">
        <v>76.8</v>
      </c>
      <c r="D23" s="30">
        <v>99.8</v>
      </c>
      <c r="E23" s="31">
        <v>1469</v>
      </c>
    </row>
    <row r="24" spans="1:5" x14ac:dyDescent="0.25">
      <c r="A24" s="8">
        <v>23</v>
      </c>
      <c r="B24" s="29">
        <v>1124</v>
      </c>
      <c r="C24" s="30">
        <v>59.2</v>
      </c>
      <c r="D24" s="30">
        <v>111.1</v>
      </c>
      <c r="E24" s="31">
        <v>480</v>
      </c>
    </row>
    <row r="25" spans="1:5" x14ac:dyDescent="0.25">
      <c r="A25" s="8">
        <v>24</v>
      </c>
      <c r="B25" s="29">
        <v>1043</v>
      </c>
      <c r="C25" s="30">
        <v>49</v>
      </c>
      <c r="D25" s="30">
        <v>94</v>
      </c>
      <c r="E25" s="31">
        <v>1435</v>
      </c>
    </row>
    <row r="26" spans="1:5" x14ac:dyDescent="0.25">
      <c r="A26" s="8">
        <v>25</v>
      </c>
      <c r="B26" s="29">
        <v>1369</v>
      </c>
      <c r="C26" s="30">
        <v>78.5</v>
      </c>
      <c r="D26" s="30">
        <v>99.7</v>
      </c>
      <c r="E26" s="31">
        <v>823</v>
      </c>
    </row>
    <row r="27" spans="1:5" x14ac:dyDescent="0.25">
      <c r="A27" s="8">
        <v>26</v>
      </c>
      <c r="B27" s="29">
        <v>1244</v>
      </c>
      <c r="C27" s="30">
        <v>59.4</v>
      </c>
      <c r="D27" s="30">
        <v>98.2</v>
      </c>
      <c r="E27" s="31">
        <v>1274</v>
      </c>
    </row>
    <row r="28" spans="1:5" x14ac:dyDescent="0.25">
      <c r="A28" s="8">
        <v>27</v>
      </c>
      <c r="B28" s="29">
        <v>1361</v>
      </c>
      <c r="C28" s="30">
        <v>100</v>
      </c>
      <c r="D28" s="30">
        <v>104.7</v>
      </c>
      <c r="E28" s="31">
        <v>1165</v>
      </c>
    </row>
    <row r="29" spans="1:5" x14ac:dyDescent="0.25">
      <c r="A29" s="8">
        <v>28</v>
      </c>
      <c r="B29" s="29">
        <v>1421</v>
      </c>
      <c r="C29" s="30">
        <v>76.3</v>
      </c>
      <c r="D29" s="30">
        <v>85.5</v>
      </c>
      <c r="E29" s="31">
        <v>1054</v>
      </c>
    </row>
    <row r="30" spans="1:5" x14ac:dyDescent="0.25">
      <c r="A30" s="8">
        <v>29</v>
      </c>
      <c r="B30" s="29">
        <v>782</v>
      </c>
      <c r="C30" s="30">
        <v>41.8</v>
      </c>
      <c r="D30" s="30">
        <v>92.5</v>
      </c>
      <c r="E30" s="31">
        <v>860</v>
      </c>
    </row>
    <row r="31" spans="1:5" x14ac:dyDescent="0.25">
      <c r="A31" s="12">
        <v>30</v>
      </c>
      <c r="B31" s="32">
        <v>1210</v>
      </c>
      <c r="C31" s="33">
        <v>65.2</v>
      </c>
      <c r="D31" s="33">
        <v>93.1</v>
      </c>
      <c r="E31" s="34">
        <v>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E4A4-1DF0-4C1A-98DD-0D7FB8EBDBAF}">
  <dimension ref="A1:H154"/>
  <sheetViews>
    <sheetView workbookViewId="0">
      <selection activeCell="H2" sqref="H2:H7"/>
    </sheetView>
  </sheetViews>
  <sheetFormatPr defaultRowHeight="15" x14ac:dyDescent="0.25"/>
  <sheetData>
    <row r="1" spans="1:8" x14ac:dyDescent="0.25">
      <c r="A1" s="35" t="s">
        <v>29</v>
      </c>
      <c r="B1" s="24" t="s">
        <v>30</v>
      </c>
      <c r="C1" s="24" t="s">
        <v>31</v>
      </c>
      <c r="D1" s="24" t="s">
        <v>32</v>
      </c>
      <c r="E1" s="24" t="s">
        <v>33</v>
      </c>
      <c r="F1" s="24" t="s">
        <v>34</v>
      </c>
      <c r="G1" s="25" t="s">
        <v>35</v>
      </c>
      <c r="H1" s="42" t="s">
        <v>189</v>
      </c>
    </row>
    <row r="2" spans="1:8" x14ac:dyDescent="0.25">
      <c r="A2" s="36" t="s">
        <v>36</v>
      </c>
      <c r="B2" s="37">
        <v>41.03</v>
      </c>
      <c r="C2" s="27">
        <v>46.6</v>
      </c>
      <c r="D2" s="27">
        <v>144.80000000000001</v>
      </c>
      <c r="E2" s="37">
        <v>42.87</v>
      </c>
      <c r="F2" s="26">
        <v>800</v>
      </c>
      <c r="G2" s="28">
        <v>36</v>
      </c>
      <c r="H2" s="23" t="s">
        <v>190</v>
      </c>
    </row>
    <row r="3" spans="1:8" x14ac:dyDescent="0.25">
      <c r="A3" s="38" t="s">
        <v>37</v>
      </c>
      <c r="B3" s="39">
        <v>18.59</v>
      </c>
      <c r="C3" s="30">
        <v>72.099999999999994</v>
      </c>
      <c r="D3" s="30">
        <v>38.6</v>
      </c>
      <c r="E3" s="39">
        <v>123.31</v>
      </c>
      <c r="F3" s="29">
        <v>3800</v>
      </c>
      <c r="G3" s="31">
        <v>93</v>
      </c>
      <c r="H3" s="23" t="s">
        <v>191</v>
      </c>
    </row>
    <row r="4" spans="1:8" x14ac:dyDescent="0.25">
      <c r="A4" s="38" t="s">
        <v>38</v>
      </c>
      <c r="B4" s="39">
        <v>22.34</v>
      </c>
      <c r="C4" s="30">
        <v>70.2</v>
      </c>
      <c r="D4" s="30">
        <v>39.200000000000003</v>
      </c>
      <c r="E4" s="39">
        <v>13.56</v>
      </c>
      <c r="F4" s="29">
        <v>5600</v>
      </c>
      <c r="G4" s="31">
        <v>62</v>
      </c>
      <c r="H4" s="23" t="s">
        <v>192</v>
      </c>
    </row>
    <row r="5" spans="1:8" x14ac:dyDescent="0.25">
      <c r="A5" s="38" t="s">
        <v>39</v>
      </c>
      <c r="B5" s="39">
        <v>46.18</v>
      </c>
      <c r="C5" s="30">
        <v>38.9</v>
      </c>
      <c r="D5" s="30">
        <v>191.7</v>
      </c>
      <c r="E5" s="39">
        <v>8.5</v>
      </c>
      <c r="F5" s="29">
        <v>1330</v>
      </c>
      <c r="G5" s="31">
        <v>42</v>
      </c>
      <c r="H5" s="23" t="s">
        <v>193</v>
      </c>
    </row>
    <row r="6" spans="1:8" x14ac:dyDescent="0.25">
      <c r="A6" s="38" t="s">
        <v>40</v>
      </c>
      <c r="B6" s="39">
        <v>18.23</v>
      </c>
      <c r="C6" s="30">
        <v>75.5</v>
      </c>
      <c r="D6" s="30">
        <v>17.2</v>
      </c>
      <c r="E6" s="39">
        <v>13.82</v>
      </c>
      <c r="F6" s="29">
        <v>12000</v>
      </c>
      <c r="G6" s="31">
        <v>96</v>
      </c>
      <c r="H6" s="23" t="s">
        <v>194</v>
      </c>
    </row>
    <row r="7" spans="1:8" x14ac:dyDescent="0.25">
      <c r="A7" s="38" t="s">
        <v>41</v>
      </c>
      <c r="B7" s="39">
        <v>12</v>
      </c>
      <c r="C7" s="30">
        <v>66.599999999999994</v>
      </c>
      <c r="D7" s="30">
        <v>41.1</v>
      </c>
      <c r="E7" s="39">
        <v>111.75</v>
      </c>
      <c r="F7" s="29">
        <v>3350</v>
      </c>
      <c r="G7" s="31">
        <v>99</v>
      </c>
      <c r="H7" s="23" t="s">
        <v>195</v>
      </c>
    </row>
    <row r="8" spans="1:8" x14ac:dyDescent="0.25">
      <c r="A8" s="38" t="s">
        <v>42</v>
      </c>
      <c r="B8" s="39">
        <v>12.71</v>
      </c>
      <c r="C8" s="30">
        <v>80</v>
      </c>
      <c r="D8" s="30">
        <v>4.9000000000000004</v>
      </c>
      <c r="E8" s="39">
        <v>2.54</v>
      </c>
      <c r="F8" s="29">
        <v>24000</v>
      </c>
      <c r="G8" s="31">
        <v>100</v>
      </c>
    </row>
    <row r="9" spans="1:8" x14ac:dyDescent="0.25">
      <c r="A9" s="38" t="s">
        <v>43</v>
      </c>
      <c r="B9" s="39">
        <v>9.58</v>
      </c>
      <c r="C9" s="30">
        <v>78</v>
      </c>
      <c r="D9" s="30">
        <v>4.4000000000000004</v>
      </c>
      <c r="E9" s="39">
        <v>97.43</v>
      </c>
      <c r="F9" s="29">
        <v>27000</v>
      </c>
      <c r="G9" s="31">
        <v>98</v>
      </c>
    </row>
    <row r="10" spans="1:8" x14ac:dyDescent="0.25">
      <c r="A10" s="38" t="s">
        <v>44</v>
      </c>
      <c r="B10" s="39">
        <v>18.84</v>
      </c>
      <c r="C10" s="30">
        <v>63.1</v>
      </c>
      <c r="D10" s="30">
        <v>82.7</v>
      </c>
      <c r="E10" s="39">
        <v>90.05</v>
      </c>
      <c r="F10" s="29">
        <v>3100</v>
      </c>
      <c r="G10" s="31">
        <v>97</v>
      </c>
    </row>
    <row r="11" spans="1:8" x14ac:dyDescent="0.25">
      <c r="A11" s="38" t="s">
        <v>45</v>
      </c>
      <c r="B11" s="39">
        <v>25.12</v>
      </c>
      <c r="C11" s="30">
        <v>60.9</v>
      </c>
      <c r="D11" s="30">
        <v>68.099999999999994</v>
      </c>
      <c r="E11" s="39">
        <v>926.23</v>
      </c>
      <c r="F11" s="29">
        <v>1750</v>
      </c>
      <c r="G11" s="31">
        <v>56</v>
      </c>
    </row>
    <row r="12" spans="1:8" x14ac:dyDescent="0.25">
      <c r="A12" s="38" t="s">
        <v>46</v>
      </c>
      <c r="B12" s="39">
        <v>9.86</v>
      </c>
      <c r="C12" s="30">
        <v>68.3</v>
      </c>
      <c r="D12" s="30">
        <v>14.1</v>
      </c>
      <c r="E12" s="39">
        <v>49.79</v>
      </c>
      <c r="F12" s="29">
        <v>8200</v>
      </c>
      <c r="G12" s="31">
        <v>98</v>
      </c>
    </row>
    <row r="13" spans="1:8" x14ac:dyDescent="0.25">
      <c r="A13" s="38" t="s">
        <v>47</v>
      </c>
      <c r="B13" s="39">
        <v>10.58</v>
      </c>
      <c r="C13" s="30">
        <v>78.099999999999994</v>
      </c>
      <c r="D13" s="30">
        <v>4.5999999999999996</v>
      </c>
      <c r="E13" s="39">
        <v>336.76</v>
      </c>
      <c r="F13" s="29">
        <v>26100</v>
      </c>
      <c r="G13" s="31">
        <v>98</v>
      </c>
    </row>
    <row r="14" spans="1:8" x14ac:dyDescent="0.25">
      <c r="A14" s="38" t="s">
        <v>48</v>
      </c>
      <c r="B14" s="39">
        <v>43.66</v>
      </c>
      <c r="C14" s="30">
        <v>49.7</v>
      </c>
      <c r="D14" s="30">
        <v>88.5</v>
      </c>
      <c r="E14" s="39">
        <v>60.27</v>
      </c>
      <c r="F14" s="29">
        <v>1040</v>
      </c>
      <c r="G14" s="31">
        <v>38</v>
      </c>
    </row>
    <row r="15" spans="1:8" x14ac:dyDescent="0.25">
      <c r="A15" s="38" t="s">
        <v>49</v>
      </c>
      <c r="B15" s="39">
        <v>35.26</v>
      </c>
      <c r="C15" s="30">
        <v>53.2</v>
      </c>
      <c r="D15" s="30">
        <v>106.8</v>
      </c>
      <c r="E15" s="39">
        <v>44.56</v>
      </c>
      <c r="F15" s="29">
        <v>1200</v>
      </c>
      <c r="G15" s="31">
        <v>42</v>
      </c>
    </row>
    <row r="16" spans="1:8" x14ac:dyDescent="0.25">
      <c r="A16" s="38" t="s">
        <v>50</v>
      </c>
      <c r="B16" s="39">
        <v>26.41</v>
      </c>
      <c r="C16" s="30">
        <v>64.400000000000006</v>
      </c>
      <c r="D16" s="30">
        <v>57.5</v>
      </c>
      <c r="E16" s="39">
        <v>7.69</v>
      </c>
      <c r="F16" s="29">
        <v>2600</v>
      </c>
      <c r="G16" s="31">
        <v>83</v>
      </c>
    </row>
    <row r="17" spans="1:7" x14ac:dyDescent="0.25">
      <c r="A17" s="38" t="s">
        <v>51</v>
      </c>
      <c r="B17" s="39">
        <v>12.76</v>
      </c>
      <c r="C17" s="30">
        <v>72</v>
      </c>
      <c r="D17" s="30">
        <v>23.5</v>
      </c>
      <c r="E17" s="39">
        <v>77.540000000000006</v>
      </c>
      <c r="F17" s="29">
        <v>1800</v>
      </c>
      <c r="G17" s="31">
        <v>93</v>
      </c>
    </row>
    <row r="18" spans="1:7" x14ac:dyDescent="0.25">
      <c r="A18" s="38" t="s">
        <v>52</v>
      </c>
      <c r="B18" s="39">
        <v>28.04</v>
      </c>
      <c r="C18" s="30">
        <v>35.9</v>
      </c>
      <c r="D18" s="30">
        <v>64.7</v>
      </c>
      <c r="E18" s="39">
        <v>2.65</v>
      </c>
      <c r="F18" s="29">
        <v>7800</v>
      </c>
      <c r="G18" s="31">
        <v>70</v>
      </c>
    </row>
    <row r="19" spans="1:7" x14ac:dyDescent="0.25">
      <c r="A19" s="38" t="s">
        <v>53</v>
      </c>
      <c r="B19" s="39">
        <v>18.079999999999998</v>
      </c>
      <c r="C19" s="30">
        <v>63.6</v>
      </c>
      <c r="D19" s="30">
        <v>35.9</v>
      </c>
      <c r="E19" s="39">
        <v>20.68</v>
      </c>
      <c r="F19" s="29">
        <v>7400</v>
      </c>
      <c r="G19" s="31">
        <v>83</v>
      </c>
    </row>
    <row r="20" spans="1:7" x14ac:dyDescent="0.25">
      <c r="A20" s="38" t="s">
        <v>54</v>
      </c>
      <c r="B20" s="39">
        <v>8.0500000000000007</v>
      </c>
      <c r="C20" s="30">
        <v>71.5</v>
      </c>
      <c r="D20" s="30">
        <v>14.2</v>
      </c>
      <c r="E20" s="39">
        <v>68.72</v>
      </c>
      <c r="F20" s="29">
        <v>6200</v>
      </c>
      <c r="G20" s="31">
        <v>98</v>
      </c>
    </row>
    <row r="21" spans="1:7" x14ac:dyDescent="0.25">
      <c r="A21" s="38" t="s">
        <v>55</v>
      </c>
      <c r="B21" s="39">
        <v>44.34</v>
      </c>
      <c r="C21" s="30">
        <v>46.1</v>
      </c>
      <c r="D21" s="30">
        <v>105.3</v>
      </c>
      <c r="E21" s="39">
        <v>45.96</v>
      </c>
      <c r="F21" s="29">
        <v>1040</v>
      </c>
      <c r="G21" s="31">
        <v>36</v>
      </c>
    </row>
    <row r="22" spans="1:7" x14ac:dyDescent="0.25">
      <c r="A22" s="38" t="s">
        <v>56</v>
      </c>
      <c r="B22" s="39">
        <v>39.869999999999997</v>
      </c>
      <c r="C22" s="30">
        <v>45.9</v>
      </c>
      <c r="D22" s="30">
        <v>70</v>
      </c>
      <c r="E22" s="39">
        <v>229</v>
      </c>
      <c r="F22" s="29">
        <v>600</v>
      </c>
      <c r="G22" s="31">
        <v>36</v>
      </c>
    </row>
    <row r="23" spans="1:7" x14ac:dyDescent="0.25">
      <c r="A23" s="38" t="s">
        <v>57</v>
      </c>
      <c r="B23" s="39">
        <v>32.93</v>
      </c>
      <c r="C23" s="30">
        <v>57.1</v>
      </c>
      <c r="D23" s="30">
        <v>64</v>
      </c>
      <c r="E23" s="39">
        <v>70.569999999999993</v>
      </c>
      <c r="F23" s="29">
        <v>1500</v>
      </c>
      <c r="G23" s="31">
        <v>35</v>
      </c>
    </row>
    <row r="24" spans="1:7" x14ac:dyDescent="0.25">
      <c r="A24" s="38" t="s">
        <v>58</v>
      </c>
      <c r="B24" s="39">
        <v>35.659999999999997</v>
      </c>
      <c r="C24" s="30">
        <v>54.4</v>
      </c>
      <c r="D24" s="30">
        <v>68.8</v>
      </c>
      <c r="E24" s="39">
        <v>34.04</v>
      </c>
      <c r="F24" s="29">
        <v>1700</v>
      </c>
      <c r="G24" s="31">
        <v>63</v>
      </c>
    </row>
    <row r="25" spans="1:7" x14ac:dyDescent="0.25">
      <c r="A25" s="38" t="s">
        <v>59</v>
      </c>
      <c r="B25" s="39">
        <v>11.09</v>
      </c>
      <c r="C25" s="30">
        <v>79.7</v>
      </c>
      <c r="D25" s="30">
        <v>5</v>
      </c>
      <c r="E25" s="39">
        <v>3.2</v>
      </c>
      <c r="F25" s="29">
        <v>27700</v>
      </c>
      <c r="G25" s="31">
        <v>97</v>
      </c>
    </row>
    <row r="26" spans="1:7" x14ac:dyDescent="0.25">
      <c r="A26" s="38" t="s">
        <v>60</v>
      </c>
      <c r="B26" s="39">
        <v>36.6</v>
      </c>
      <c r="C26" s="30">
        <v>43.6</v>
      </c>
      <c r="D26" s="30">
        <v>103.8</v>
      </c>
      <c r="E26" s="39">
        <v>5.85</v>
      </c>
      <c r="F26" s="29">
        <v>1300</v>
      </c>
      <c r="G26" s="31">
        <v>60</v>
      </c>
    </row>
    <row r="27" spans="1:7" x14ac:dyDescent="0.25">
      <c r="A27" s="38" t="s">
        <v>61</v>
      </c>
      <c r="B27" s="39">
        <v>47.74</v>
      </c>
      <c r="C27" s="30">
        <v>51.3</v>
      </c>
      <c r="D27" s="30">
        <v>93.5</v>
      </c>
      <c r="E27" s="39">
        <v>7.01</v>
      </c>
      <c r="F27" s="29">
        <v>1030</v>
      </c>
      <c r="G27" s="31">
        <v>40</v>
      </c>
    </row>
    <row r="28" spans="1:7" x14ac:dyDescent="0.25">
      <c r="A28" s="38" t="s">
        <v>62</v>
      </c>
      <c r="B28" s="39">
        <v>16.46</v>
      </c>
      <c r="C28" s="30">
        <v>76.099999999999994</v>
      </c>
      <c r="D28" s="30">
        <v>9.1</v>
      </c>
      <c r="E28" s="39">
        <v>20.48</v>
      </c>
      <c r="F28" s="29">
        <v>10000</v>
      </c>
      <c r="G28" s="31">
        <v>95</v>
      </c>
    </row>
    <row r="29" spans="1:7" x14ac:dyDescent="0.25">
      <c r="A29" s="38" t="s">
        <v>63</v>
      </c>
      <c r="B29" s="39">
        <v>15.85</v>
      </c>
      <c r="C29" s="30">
        <v>71.900000000000006</v>
      </c>
      <c r="D29" s="30">
        <v>27.3</v>
      </c>
      <c r="E29" s="39">
        <v>133.82</v>
      </c>
      <c r="F29" s="29">
        <v>4300</v>
      </c>
      <c r="G29" s="31">
        <v>82</v>
      </c>
    </row>
    <row r="30" spans="1:7" x14ac:dyDescent="0.25">
      <c r="A30" s="38" t="s">
        <v>64</v>
      </c>
      <c r="B30" s="39">
        <v>10.92</v>
      </c>
      <c r="C30" s="30">
        <v>79.8</v>
      </c>
      <c r="D30" s="30">
        <v>5.7</v>
      </c>
      <c r="E30" s="39">
        <v>6688.03</v>
      </c>
      <c r="F30" s="29">
        <v>25000</v>
      </c>
      <c r="G30" s="31">
        <v>92</v>
      </c>
    </row>
    <row r="31" spans="1:7" x14ac:dyDescent="0.25">
      <c r="A31" s="38" t="s">
        <v>65</v>
      </c>
      <c r="B31" s="39">
        <v>21.99</v>
      </c>
      <c r="C31" s="30">
        <v>70.900000000000006</v>
      </c>
      <c r="D31" s="30">
        <v>23.2</v>
      </c>
      <c r="E31" s="39">
        <v>36.01</v>
      </c>
      <c r="F31" s="29">
        <v>6300</v>
      </c>
      <c r="G31" s="31">
        <v>91</v>
      </c>
    </row>
    <row r="32" spans="1:7" x14ac:dyDescent="0.25">
      <c r="A32" s="38" t="s">
        <v>66</v>
      </c>
      <c r="B32" s="39">
        <v>37.909999999999997</v>
      </c>
      <c r="C32" s="30">
        <v>47.7</v>
      </c>
      <c r="D32" s="30">
        <v>97.9</v>
      </c>
      <c r="E32" s="39">
        <v>8.65</v>
      </c>
      <c r="F32" s="29">
        <v>900</v>
      </c>
      <c r="G32" s="31">
        <v>75</v>
      </c>
    </row>
    <row r="33" spans="1:7" x14ac:dyDescent="0.25">
      <c r="A33" s="38" t="s">
        <v>67</v>
      </c>
      <c r="B33" s="39">
        <v>45.55</v>
      </c>
      <c r="C33" s="30">
        <v>49.1</v>
      </c>
      <c r="D33" s="30">
        <v>98.1</v>
      </c>
      <c r="E33" s="39">
        <v>23.55</v>
      </c>
      <c r="F33" s="29">
        <v>590</v>
      </c>
      <c r="G33" s="31">
        <v>77</v>
      </c>
    </row>
    <row r="34" spans="1:7" x14ac:dyDescent="0.25">
      <c r="A34" s="38" t="s">
        <v>68</v>
      </c>
      <c r="B34" s="39">
        <v>19.829999999999998</v>
      </c>
      <c r="C34" s="30">
        <v>76.2</v>
      </c>
      <c r="D34" s="30">
        <v>10.9</v>
      </c>
      <c r="E34" s="39">
        <v>75.05</v>
      </c>
      <c r="F34" s="29">
        <v>8500</v>
      </c>
      <c r="G34" s="31">
        <v>96</v>
      </c>
    </row>
    <row r="35" spans="1:7" x14ac:dyDescent="0.25">
      <c r="A35" s="38" t="s">
        <v>69</v>
      </c>
      <c r="B35" s="39">
        <v>39.99</v>
      </c>
      <c r="C35" s="30">
        <v>44.7</v>
      </c>
      <c r="D35" s="30">
        <v>92.2</v>
      </c>
      <c r="E35" s="39">
        <v>52.11</v>
      </c>
      <c r="F35" s="29">
        <v>1550</v>
      </c>
      <c r="G35" s="31">
        <v>49</v>
      </c>
    </row>
    <row r="36" spans="1:7" x14ac:dyDescent="0.25">
      <c r="A36" s="38" t="s">
        <v>70</v>
      </c>
      <c r="B36" s="39">
        <v>12.8</v>
      </c>
      <c r="C36" s="30">
        <v>74.099999999999994</v>
      </c>
      <c r="D36" s="30">
        <v>7.1</v>
      </c>
      <c r="E36" s="39">
        <v>77.650000000000006</v>
      </c>
      <c r="F36" s="29">
        <v>8300</v>
      </c>
      <c r="G36" s="31">
        <v>97</v>
      </c>
    </row>
    <row r="37" spans="1:7" x14ac:dyDescent="0.25">
      <c r="A37" s="38" t="s">
        <v>71</v>
      </c>
      <c r="B37" s="39">
        <v>12.08</v>
      </c>
      <c r="C37" s="30">
        <v>76.599999999999994</v>
      </c>
      <c r="D37" s="30">
        <v>7.3</v>
      </c>
      <c r="E37" s="39">
        <v>101.25</v>
      </c>
      <c r="F37" s="29">
        <v>2300</v>
      </c>
      <c r="G37" s="31">
        <v>96</v>
      </c>
    </row>
    <row r="38" spans="1:7" x14ac:dyDescent="0.25">
      <c r="A38" s="38" t="s">
        <v>72</v>
      </c>
      <c r="B38" s="39">
        <v>9.08</v>
      </c>
      <c r="C38" s="30">
        <v>75</v>
      </c>
      <c r="D38" s="30">
        <v>5.5</v>
      </c>
      <c r="E38" s="39">
        <v>130.05000000000001</v>
      </c>
      <c r="F38" s="29">
        <v>14400</v>
      </c>
      <c r="G38" s="31">
        <v>100</v>
      </c>
    </row>
    <row r="39" spans="1:7" x14ac:dyDescent="0.25">
      <c r="A39" s="38" t="s">
        <v>73</v>
      </c>
      <c r="B39" s="39">
        <v>11.74</v>
      </c>
      <c r="C39" s="30">
        <v>76.900000000000006</v>
      </c>
      <c r="D39" s="30">
        <v>5</v>
      </c>
      <c r="E39" s="39">
        <v>124.58</v>
      </c>
      <c r="F39" s="29">
        <v>28000</v>
      </c>
      <c r="G39" s="31">
        <v>100</v>
      </c>
    </row>
    <row r="40" spans="1:7" x14ac:dyDescent="0.25">
      <c r="A40" s="38" t="s">
        <v>74</v>
      </c>
      <c r="B40" s="39">
        <v>24.4</v>
      </c>
      <c r="C40" s="30">
        <v>73.7</v>
      </c>
      <c r="D40" s="30">
        <v>33.4</v>
      </c>
      <c r="E40" s="39">
        <v>178.98</v>
      </c>
      <c r="F40" s="29">
        <v>5800</v>
      </c>
      <c r="G40" s="31">
        <v>82</v>
      </c>
    </row>
    <row r="41" spans="1:7" x14ac:dyDescent="0.25">
      <c r="A41" s="38" t="s">
        <v>75</v>
      </c>
      <c r="B41" s="39">
        <v>25.47</v>
      </c>
      <c r="C41" s="30">
        <v>71.599999999999994</v>
      </c>
      <c r="D41" s="30">
        <v>33</v>
      </c>
      <c r="E41" s="39">
        <v>47.42</v>
      </c>
      <c r="F41" s="29">
        <v>3000</v>
      </c>
      <c r="G41" s="31">
        <v>90</v>
      </c>
    </row>
    <row r="42" spans="1:7" x14ac:dyDescent="0.25">
      <c r="A42" s="38" t="s">
        <v>76</v>
      </c>
      <c r="B42" s="39">
        <v>24.41</v>
      </c>
      <c r="C42" s="30">
        <v>64.099999999999994</v>
      </c>
      <c r="D42" s="30">
        <v>58.6</v>
      </c>
      <c r="E42" s="39">
        <v>70.61</v>
      </c>
      <c r="F42" s="29">
        <v>3700</v>
      </c>
      <c r="G42" s="31">
        <v>51</v>
      </c>
    </row>
    <row r="43" spans="1:7" x14ac:dyDescent="0.25">
      <c r="A43" s="38" t="s">
        <v>77</v>
      </c>
      <c r="B43" s="39">
        <v>28.3</v>
      </c>
      <c r="C43" s="30">
        <v>70.3</v>
      </c>
      <c r="D43" s="30">
        <v>27.6</v>
      </c>
      <c r="E43" s="39">
        <v>301.98</v>
      </c>
      <c r="F43" s="29">
        <v>4600</v>
      </c>
      <c r="G43" s="31">
        <v>72</v>
      </c>
    </row>
    <row r="44" spans="1:7" x14ac:dyDescent="0.25">
      <c r="A44" s="38" t="s">
        <v>78</v>
      </c>
      <c r="B44" s="39">
        <v>42.25</v>
      </c>
      <c r="C44" s="30">
        <v>56.6</v>
      </c>
      <c r="D44" s="30">
        <v>73.599999999999994</v>
      </c>
      <c r="E44" s="39">
        <v>36.81</v>
      </c>
      <c r="F44" s="29">
        <v>740</v>
      </c>
      <c r="G44" s="31">
        <v>25</v>
      </c>
    </row>
    <row r="45" spans="1:7" x14ac:dyDescent="0.25">
      <c r="A45" s="38" t="s">
        <v>79</v>
      </c>
      <c r="B45" s="39">
        <v>8.9600000000000009</v>
      </c>
      <c r="C45" s="30">
        <v>70</v>
      </c>
      <c r="D45" s="30">
        <v>12.3</v>
      </c>
      <c r="E45" s="39">
        <v>31.3</v>
      </c>
      <c r="F45" s="29">
        <v>10000</v>
      </c>
      <c r="G45" s="31">
        <v>100</v>
      </c>
    </row>
    <row r="46" spans="1:7" x14ac:dyDescent="0.25">
      <c r="A46" s="38" t="s">
        <v>80</v>
      </c>
      <c r="B46" s="39">
        <v>44.31</v>
      </c>
      <c r="C46" s="30">
        <v>45.1</v>
      </c>
      <c r="D46" s="30">
        <v>98.6</v>
      </c>
      <c r="E46" s="39">
        <v>60.04</v>
      </c>
      <c r="F46" s="29">
        <v>700</v>
      </c>
      <c r="G46" s="31">
        <v>36</v>
      </c>
    </row>
    <row r="47" spans="1:7" x14ac:dyDescent="0.25">
      <c r="A47" s="38" t="s">
        <v>81</v>
      </c>
      <c r="B47" s="39">
        <v>10.6</v>
      </c>
      <c r="C47" s="30">
        <v>77.8</v>
      </c>
      <c r="D47" s="30">
        <v>3.8</v>
      </c>
      <c r="E47" s="39">
        <v>15.38</v>
      </c>
      <c r="F47" s="29">
        <v>25800</v>
      </c>
      <c r="G47" s="31">
        <v>100</v>
      </c>
    </row>
    <row r="48" spans="1:7" x14ac:dyDescent="0.25">
      <c r="A48" s="38" t="s">
        <v>82</v>
      </c>
      <c r="B48" s="39">
        <v>11.94</v>
      </c>
      <c r="C48" s="30">
        <v>79.099999999999994</v>
      </c>
      <c r="D48" s="30">
        <v>4.4000000000000004</v>
      </c>
      <c r="E48" s="39">
        <v>109.26</v>
      </c>
      <c r="F48" s="29">
        <v>25400</v>
      </c>
      <c r="G48" s="31">
        <v>99</v>
      </c>
    </row>
    <row r="49" spans="1:7" x14ac:dyDescent="0.25">
      <c r="A49" s="38" t="s">
        <v>83</v>
      </c>
      <c r="B49" s="39">
        <v>27.24</v>
      </c>
      <c r="C49" s="30">
        <v>49.1</v>
      </c>
      <c r="D49" s="30">
        <v>93.5</v>
      </c>
      <c r="E49" s="39">
        <v>4.6100000000000003</v>
      </c>
      <c r="F49" s="29">
        <v>5500</v>
      </c>
      <c r="G49" s="31">
        <v>63</v>
      </c>
    </row>
    <row r="50" spans="1:7" x14ac:dyDescent="0.25">
      <c r="A50" s="38" t="s">
        <v>84</v>
      </c>
      <c r="B50" s="39">
        <v>41.25</v>
      </c>
      <c r="C50" s="30">
        <v>54</v>
      </c>
      <c r="D50" s="30">
        <v>76.400000000000006</v>
      </c>
      <c r="E50" s="39">
        <v>128.84</v>
      </c>
      <c r="F50" s="29">
        <v>1770</v>
      </c>
      <c r="G50" s="31">
        <v>48</v>
      </c>
    </row>
    <row r="51" spans="1:7" x14ac:dyDescent="0.25">
      <c r="A51" s="38" t="s">
        <v>85</v>
      </c>
      <c r="B51" s="39">
        <v>11.48</v>
      </c>
      <c r="C51" s="30">
        <v>64.7</v>
      </c>
      <c r="D51" s="30">
        <v>51.8</v>
      </c>
      <c r="E51" s="39">
        <v>71.180000000000007</v>
      </c>
      <c r="F51" s="29">
        <v>3100</v>
      </c>
      <c r="G51" s="31">
        <v>99</v>
      </c>
    </row>
    <row r="52" spans="1:7" x14ac:dyDescent="0.25">
      <c r="A52" s="38" t="s">
        <v>86</v>
      </c>
      <c r="B52" s="39">
        <v>8.99</v>
      </c>
      <c r="C52" s="30">
        <v>77.8</v>
      </c>
      <c r="D52" s="30">
        <v>4.7</v>
      </c>
      <c r="E52" s="39">
        <v>233.18</v>
      </c>
      <c r="F52" s="29">
        <v>26200</v>
      </c>
      <c r="G52" s="31">
        <v>99</v>
      </c>
    </row>
    <row r="53" spans="1:7" x14ac:dyDescent="0.25">
      <c r="A53" s="38" t="s">
        <v>87</v>
      </c>
      <c r="B53" s="39">
        <v>28.08</v>
      </c>
      <c r="C53" s="30">
        <v>57.1</v>
      </c>
      <c r="D53" s="30">
        <v>55.6</v>
      </c>
      <c r="E53" s="39">
        <v>84.54</v>
      </c>
      <c r="F53" s="29">
        <v>1980</v>
      </c>
      <c r="G53" s="31">
        <v>65</v>
      </c>
    </row>
    <row r="54" spans="1:7" x14ac:dyDescent="0.25">
      <c r="A54" s="38" t="s">
        <v>88</v>
      </c>
      <c r="B54" s="39">
        <v>9.82</v>
      </c>
      <c r="C54" s="30">
        <v>78.7</v>
      </c>
      <c r="D54" s="30">
        <v>6.3</v>
      </c>
      <c r="E54" s="39">
        <v>80.680000000000007</v>
      </c>
      <c r="F54" s="29">
        <v>17900</v>
      </c>
      <c r="G54" s="31">
        <v>97</v>
      </c>
    </row>
    <row r="55" spans="1:7" x14ac:dyDescent="0.25">
      <c r="A55" s="38" t="s">
        <v>89</v>
      </c>
      <c r="B55" s="39">
        <v>34.17</v>
      </c>
      <c r="C55" s="30">
        <v>66.900000000000006</v>
      </c>
      <c r="D55" s="30">
        <v>44.6</v>
      </c>
      <c r="E55" s="39">
        <v>122.27</v>
      </c>
      <c r="F55" s="29">
        <v>3700</v>
      </c>
      <c r="G55" s="31">
        <v>64</v>
      </c>
    </row>
    <row r="56" spans="1:7" x14ac:dyDescent="0.25">
      <c r="A56" s="38" t="s">
        <v>90</v>
      </c>
      <c r="B56" s="39">
        <v>39.49</v>
      </c>
      <c r="C56" s="30">
        <v>46.3</v>
      </c>
      <c r="D56" s="30">
        <v>127.1</v>
      </c>
      <c r="E56" s="39">
        <v>31.62</v>
      </c>
      <c r="F56" s="29">
        <v>1970</v>
      </c>
      <c r="G56" s="31">
        <v>36</v>
      </c>
    </row>
    <row r="57" spans="1:7" x14ac:dyDescent="0.25">
      <c r="A57" s="38" t="s">
        <v>91</v>
      </c>
      <c r="B57" s="39">
        <v>38.950000000000003</v>
      </c>
      <c r="C57" s="30">
        <v>52.2</v>
      </c>
      <c r="D57" s="30">
        <v>108.5</v>
      </c>
      <c r="E57" s="39">
        <v>37.25</v>
      </c>
      <c r="F57" s="29">
        <v>900</v>
      </c>
      <c r="G57" s="31">
        <v>34</v>
      </c>
    </row>
    <row r="58" spans="1:7" x14ac:dyDescent="0.25">
      <c r="A58" s="38" t="s">
        <v>92</v>
      </c>
      <c r="B58" s="39">
        <v>31.42</v>
      </c>
      <c r="C58" s="30">
        <v>49.6</v>
      </c>
      <c r="D58" s="30">
        <v>93.4</v>
      </c>
      <c r="E58" s="39">
        <v>254.55</v>
      </c>
      <c r="F58" s="29">
        <v>1700</v>
      </c>
      <c r="G58" s="31">
        <v>45</v>
      </c>
    </row>
    <row r="59" spans="1:7" x14ac:dyDescent="0.25">
      <c r="A59" s="38" t="s">
        <v>93</v>
      </c>
      <c r="B59" s="39">
        <v>31.24</v>
      </c>
      <c r="C59" s="30">
        <v>68.8</v>
      </c>
      <c r="D59" s="30">
        <v>30.5</v>
      </c>
      <c r="E59" s="39">
        <v>58.53</v>
      </c>
      <c r="F59" s="29">
        <v>2600</v>
      </c>
      <c r="G59" s="31">
        <v>74</v>
      </c>
    </row>
    <row r="60" spans="1:7" x14ac:dyDescent="0.25">
      <c r="A60" s="38" t="s">
        <v>94</v>
      </c>
      <c r="B60" s="39">
        <v>9.34</v>
      </c>
      <c r="C60" s="30">
        <v>71.900000000000006</v>
      </c>
      <c r="D60" s="30">
        <v>8.8000000000000007</v>
      </c>
      <c r="E60" s="39">
        <v>108.3</v>
      </c>
      <c r="F60" s="29">
        <v>12000</v>
      </c>
      <c r="G60" s="31">
        <v>99</v>
      </c>
    </row>
    <row r="61" spans="1:7" x14ac:dyDescent="0.25">
      <c r="A61" s="38" t="s">
        <v>95</v>
      </c>
      <c r="B61" s="39">
        <v>23.79</v>
      </c>
      <c r="C61" s="30">
        <v>63.2</v>
      </c>
      <c r="D61" s="30">
        <v>61.5</v>
      </c>
      <c r="E61" s="39">
        <v>318.12</v>
      </c>
      <c r="F61" s="29">
        <v>2500</v>
      </c>
      <c r="G61" s="31">
        <v>52</v>
      </c>
    </row>
    <row r="62" spans="1:7" x14ac:dyDescent="0.25">
      <c r="A62" s="38" t="s">
        <v>96</v>
      </c>
      <c r="B62" s="39">
        <v>21.87</v>
      </c>
      <c r="C62" s="30">
        <v>68.599999999999994</v>
      </c>
      <c r="D62" s="30">
        <v>39.4</v>
      </c>
      <c r="E62" s="39">
        <v>120.52</v>
      </c>
      <c r="F62" s="29">
        <v>3000</v>
      </c>
      <c r="G62" s="31">
        <v>84</v>
      </c>
    </row>
    <row r="63" spans="1:7" x14ac:dyDescent="0.25">
      <c r="A63" s="38" t="s">
        <v>97</v>
      </c>
      <c r="B63" s="39">
        <v>17.54</v>
      </c>
      <c r="C63" s="30">
        <v>70.3</v>
      </c>
      <c r="D63" s="30">
        <v>28.1</v>
      </c>
      <c r="E63" s="39">
        <v>40.43</v>
      </c>
      <c r="F63" s="29">
        <v>6400</v>
      </c>
      <c r="G63" s="31">
        <v>72</v>
      </c>
    </row>
    <row r="64" spans="1:7" x14ac:dyDescent="0.25">
      <c r="A64" s="38" t="s">
        <v>98</v>
      </c>
      <c r="B64" s="39">
        <v>34.200000000000003</v>
      </c>
      <c r="C64" s="30">
        <v>67.400000000000006</v>
      </c>
      <c r="D64" s="30">
        <v>51.7</v>
      </c>
      <c r="E64" s="39">
        <v>54.92</v>
      </c>
      <c r="F64" s="29">
        <v>2500</v>
      </c>
      <c r="G64" s="31">
        <v>58</v>
      </c>
    </row>
    <row r="65" spans="1:7" x14ac:dyDescent="0.25">
      <c r="A65" s="38" t="s">
        <v>99</v>
      </c>
      <c r="B65" s="39">
        <v>14.62</v>
      </c>
      <c r="C65" s="30">
        <v>77.2</v>
      </c>
      <c r="D65" s="30">
        <v>5.4</v>
      </c>
      <c r="E65" s="39">
        <v>55.25</v>
      </c>
      <c r="F65" s="29">
        <v>27300</v>
      </c>
      <c r="G65" s="31">
        <v>98</v>
      </c>
    </row>
    <row r="66" spans="1:7" x14ac:dyDescent="0.25">
      <c r="A66" s="38" t="s">
        <v>100</v>
      </c>
      <c r="B66" s="39">
        <v>18.91</v>
      </c>
      <c r="C66" s="30">
        <v>78.900000000000006</v>
      </c>
      <c r="D66" s="30">
        <v>7.6</v>
      </c>
      <c r="E66" s="39">
        <v>290.3</v>
      </c>
      <c r="F66" s="29">
        <v>20000</v>
      </c>
      <c r="G66" s="31">
        <v>95</v>
      </c>
    </row>
    <row r="67" spans="1:7" x14ac:dyDescent="0.25">
      <c r="A67" s="38" t="s">
        <v>101</v>
      </c>
      <c r="B67" s="39">
        <v>8.93</v>
      </c>
      <c r="C67" s="30">
        <v>79.3</v>
      </c>
      <c r="D67" s="30">
        <v>5.8</v>
      </c>
      <c r="E67" s="39">
        <v>191.6</v>
      </c>
      <c r="F67" s="29">
        <v>24300</v>
      </c>
      <c r="G67" s="31">
        <v>98</v>
      </c>
    </row>
    <row r="68" spans="1:7" x14ac:dyDescent="0.25">
      <c r="A68" s="38" t="s">
        <v>102</v>
      </c>
      <c r="B68" s="39">
        <v>17.739999999999998</v>
      </c>
      <c r="C68" s="30">
        <v>75.599999999999994</v>
      </c>
      <c r="D68" s="30">
        <v>13.7</v>
      </c>
      <c r="E68" s="39">
        <v>243.84</v>
      </c>
      <c r="F68" s="29">
        <v>3700</v>
      </c>
      <c r="G68" s="31">
        <v>85</v>
      </c>
    </row>
    <row r="69" spans="1:7" x14ac:dyDescent="0.25">
      <c r="A69" s="38" t="s">
        <v>103</v>
      </c>
      <c r="B69" s="39">
        <v>10.029999999999999</v>
      </c>
      <c r="C69" s="30">
        <v>80.900000000000006</v>
      </c>
      <c r="D69" s="30">
        <v>3.8</v>
      </c>
      <c r="E69" s="39">
        <v>336.06</v>
      </c>
      <c r="F69" s="29">
        <v>27200</v>
      </c>
      <c r="G69" s="31">
        <v>99</v>
      </c>
    </row>
    <row r="70" spans="1:7" x14ac:dyDescent="0.25">
      <c r="A70" s="38" t="s">
        <v>104</v>
      </c>
      <c r="B70" s="39">
        <v>24.58</v>
      </c>
      <c r="C70" s="30">
        <v>77.7</v>
      </c>
      <c r="D70" s="30">
        <v>19.600000000000001</v>
      </c>
      <c r="E70" s="39">
        <v>57.5</v>
      </c>
      <c r="F70" s="29">
        <v>4200</v>
      </c>
      <c r="G70" s="31">
        <v>87</v>
      </c>
    </row>
    <row r="71" spans="1:7" x14ac:dyDescent="0.25">
      <c r="A71" s="38" t="s">
        <v>105</v>
      </c>
      <c r="B71" s="39">
        <v>17.829999999999998</v>
      </c>
      <c r="C71" s="30">
        <v>63.4</v>
      </c>
      <c r="D71" s="30">
        <v>59</v>
      </c>
      <c r="E71" s="39">
        <v>6.16</v>
      </c>
      <c r="F71" s="29">
        <v>5900</v>
      </c>
      <c r="G71" s="31">
        <v>98</v>
      </c>
    </row>
    <row r="72" spans="1:7" x14ac:dyDescent="0.25">
      <c r="A72" s="38" t="s">
        <v>106</v>
      </c>
      <c r="B72" s="39">
        <v>27.61</v>
      </c>
      <c r="C72" s="30">
        <v>47</v>
      </c>
      <c r="D72" s="30">
        <v>67.2</v>
      </c>
      <c r="E72" s="39">
        <v>53.44</v>
      </c>
      <c r="F72" s="29">
        <v>1000</v>
      </c>
      <c r="G72" s="31">
        <v>78</v>
      </c>
    </row>
    <row r="73" spans="1:7" x14ac:dyDescent="0.25">
      <c r="A73" s="38" t="s">
        <v>107</v>
      </c>
      <c r="B73" s="39">
        <v>17.95</v>
      </c>
      <c r="C73" s="30">
        <v>71.3</v>
      </c>
      <c r="D73" s="30">
        <v>22.8</v>
      </c>
      <c r="E73" s="39">
        <v>184.37</v>
      </c>
      <c r="F73" s="29">
        <v>1000</v>
      </c>
      <c r="G73" s="31">
        <v>99</v>
      </c>
    </row>
    <row r="74" spans="1:7" x14ac:dyDescent="0.25">
      <c r="A74" s="38" t="s">
        <v>108</v>
      </c>
      <c r="B74" s="39">
        <v>14.55</v>
      </c>
      <c r="C74" s="30">
        <v>74.900000000000006</v>
      </c>
      <c r="D74" s="30">
        <v>7.6</v>
      </c>
      <c r="E74" s="39">
        <v>490.7</v>
      </c>
      <c r="F74" s="29">
        <v>18000</v>
      </c>
      <c r="G74" s="31">
        <v>98</v>
      </c>
    </row>
    <row r="75" spans="1:7" x14ac:dyDescent="0.25">
      <c r="A75" s="38" t="s">
        <v>109</v>
      </c>
      <c r="B75" s="39">
        <v>21.84</v>
      </c>
      <c r="C75" s="30">
        <v>79.5</v>
      </c>
      <c r="D75" s="30">
        <v>10.9</v>
      </c>
      <c r="E75" s="39">
        <v>118.49</v>
      </c>
      <c r="F75" s="29">
        <v>15100</v>
      </c>
      <c r="G75" s="31">
        <v>79</v>
      </c>
    </row>
    <row r="76" spans="1:7" x14ac:dyDescent="0.25">
      <c r="A76" s="38" t="s">
        <v>110</v>
      </c>
      <c r="B76" s="39">
        <v>26.11</v>
      </c>
      <c r="C76" s="30">
        <v>63.6</v>
      </c>
      <c r="D76" s="30">
        <v>75.900000000000006</v>
      </c>
      <c r="E76" s="39">
        <v>24.29</v>
      </c>
      <c r="F76" s="29">
        <v>2800</v>
      </c>
      <c r="G76" s="31">
        <v>97</v>
      </c>
    </row>
    <row r="77" spans="1:7" x14ac:dyDescent="0.25">
      <c r="A77" s="38" t="s">
        <v>111</v>
      </c>
      <c r="B77" s="39">
        <v>37.39</v>
      </c>
      <c r="C77" s="30">
        <v>53.9</v>
      </c>
      <c r="D77" s="30">
        <v>91</v>
      </c>
      <c r="E77" s="39">
        <v>24.4</v>
      </c>
      <c r="F77" s="29">
        <v>1630</v>
      </c>
      <c r="G77" s="31">
        <v>57</v>
      </c>
    </row>
    <row r="78" spans="1:7" x14ac:dyDescent="0.25">
      <c r="A78" s="38" t="s">
        <v>112</v>
      </c>
      <c r="B78" s="39">
        <v>8.27</v>
      </c>
      <c r="C78" s="30">
        <v>69</v>
      </c>
      <c r="D78" s="30">
        <v>15</v>
      </c>
      <c r="E78" s="39">
        <v>36.64</v>
      </c>
      <c r="F78" s="29">
        <v>7800</v>
      </c>
      <c r="G78" s="31">
        <v>100</v>
      </c>
    </row>
    <row r="79" spans="1:7" x14ac:dyDescent="0.25">
      <c r="A79" s="38" t="s">
        <v>113</v>
      </c>
      <c r="B79" s="39">
        <v>19.96</v>
      </c>
      <c r="C79" s="30">
        <v>71.8</v>
      </c>
      <c r="D79" s="30">
        <v>27.4</v>
      </c>
      <c r="E79" s="39">
        <v>353.63</v>
      </c>
      <c r="F79" s="29">
        <v>5200</v>
      </c>
      <c r="G79" s="31">
        <v>86</v>
      </c>
    </row>
    <row r="80" spans="1:7" x14ac:dyDescent="0.25">
      <c r="A80" s="38" t="s">
        <v>114</v>
      </c>
      <c r="B80" s="39">
        <v>30.72</v>
      </c>
      <c r="C80" s="30">
        <v>47</v>
      </c>
      <c r="D80" s="30">
        <v>82.6</v>
      </c>
      <c r="E80" s="39">
        <v>72.739999999999995</v>
      </c>
      <c r="F80" s="29">
        <v>2450</v>
      </c>
      <c r="G80" s="31">
        <v>83</v>
      </c>
    </row>
    <row r="81" spans="1:7" x14ac:dyDescent="0.25">
      <c r="A81" s="38" t="s">
        <v>115</v>
      </c>
      <c r="B81" s="39">
        <v>45.95</v>
      </c>
      <c r="C81" s="30">
        <v>21.8</v>
      </c>
      <c r="D81" s="30">
        <v>130.19999999999999</v>
      </c>
      <c r="E81" s="39">
        <v>29.52</v>
      </c>
      <c r="F81" s="29">
        <v>1100</v>
      </c>
      <c r="G81" s="31">
        <v>38</v>
      </c>
    </row>
    <row r="82" spans="1:7" x14ac:dyDescent="0.25">
      <c r="A82" s="38" t="s">
        <v>116</v>
      </c>
      <c r="B82" s="39">
        <v>27.59</v>
      </c>
      <c r="C82" s="30">
        <v>75.900000000000006</v>
      </c>
      <c r="D82" s="30">
        <v>27.9</v>
      </c>
      <c r="E82" s="39">
        <v>3.05</v>
      </c>
      <c r="F82" s="29">
        <v>7600</v>
      </c>
      <c r="G82" s="31">
        <v>76</v>
      </c>
    </row>
    <row r="83" spans="1:7" x14ac:dyDescent="0.25">
      <c r="A83" s="38" t="s">
        <v>117</v>
      </c>
      <c r="B83" s="39">
        <v>10.220000000000001</v>
      </c>
      <c r="C83" s="30">
        <v>69.400000000000006</v>
      </c>
      <c r="D83" s="30">
        <v>14.3</v>
      </c>
      <c r="E83" s="39">
        <v>55.23</v>
      </c>
      <c r="F83" s="29">
        <v>7600</v>
      </c>
      <c r="G83" s="31">
        <v>98</v>
      </c>
    </row>
    <row r="84" spans="1:7" x14ac:dyDescent="0.25">
      <c r="A84" s="38" t="s">
        <v>118</v>
      </c>
      <c r="B84" s="39">
        <v>13.35</v>
      </c>
      <c r="C84" s="30">
        <v>74.3</v>
      </c>
      <c r="D84" s="30">
        <v>12.5</v>
      </c>
      <c r="E84" s="39">
        <v>81.11</v>
      </c>
      <c r="F84" s="29">
        <v>4400</v>
      </c>
      <c r="G84" s="31">
        <v>89</v>
      </c>
    </row>
    <row r="85" spans="1:7" x14ac:dyDescent="0.25">
      <c r="A85" s="38" t="s">
        <v>119</v>
      </c>
      <c r="B85" s="39">
        <v>42.41</v>
      </c>
      <c r="C85" s="30">
        <v>55.7</v>
      </c>
      <c r="D85" s="30">
        <v>81.900000000000006</v>
      </c>
      <c r="E85" s="39">
        <v>28.06</v>
      </c>
      <c r="F85" s="29">
        <v>870</v>
      </c>
      <c r="G85" s="31">
        <v>80</v>
      </c>
    </row>
    <row r="86" spans="1:7" x14ac:dyDescent="0.25">
      <c r="A86" s="38" t="s">
        <v>120</v>
      </c>
      <c r="B86" s="39">
        <v>37.130000000000003</v>
      </c>
      <c r="C86" s="30">
        <v>36.6</v>
      </c>
      <c r="D86" s="30">
        <v>120</v>
      </c>
      <c r="E86" s="39">
        <v>90.33</v>
      </c>
      <c r="F86" s="29">
        <v>660</v>
      </c>
      <c r="G86" s="31">
        <v>58</v>
      </c>
    </row>
    <row r="87" spans="1:7" x14ac:dyDescent="0.25">
      <c r="A87" s="38" t="s">
        <v>121</v>
      </c>
      <c r="B87" s="39">
        <v>24.22</v>
      </c>
      <c r="C87" s="30">
        <v>71.400000000000006</v>
      </c>
      <c r="D87" s="30">
        <v>19.7</v>
      </c>
      <c r="E87" s="39">
        <v>68.73</v>
      </c>
      <c r="F87" s="29">
        <v>9000</v>
      </c>
      <c r="G87" s="31">
        <v>84</v>
      </c>
    </row>
    <row r="88" spans="1:7" x14ac:dyDescent="0.25">
      <c r="A88" s="38" t="s">
        <v>122</v>
      </c>
      <c r="B88" s="39">
        <v>48.37</v>
      </c>
      <c r="C88" s="30">
        <v>47.4</v>
      </c>
      <c r="D88" s="30">
        <v>119.6</v>
      </c>
      <c r="E88" s="39">
        <v>9.15</v>
      </c>
      <c r="F88" s="29">
        <v>840</v>
      </c>
      <c r="G88" s="31">
        <v>38</v>
      </c>
    </row>
    <row r="89" spans="1:7" x14ac:dyDescent="0.25">
      <c r="A89" s="38" t="s">
        <v>123</v>
      </c>
      <c r="B89" s="39">
        <v>42.54</v>
      </c>
      <c r="C89" s="30">
        <v>54.5</v>
      </c>
      <c r="D89" s="30">
        <v>75.3</v>
      </c>
      <c r="E89" s="39">
        <v>2.74</v>
      </c>
      <c r="F89" s="29">
        <v>1800</v>
      </c>
      <c r="G89" s="31">
        <v>41</v>
      </c>
    </row>
    <row r="90" spans="1:7" x14ac:dyDescent="0.25">
      <c r="A90" s="38" t="s">
        <v>124</v>
      </c>
      <c r="B90" s="39">
        <v>16.34</v>
      </c>
      <c r="C90" s="30">
        <v>71.5</v>
      </c>
      <c r="D90" s="30">
        <v>16.7</v>
      </c>
      <c r="E90" s="39">
        <v>588.34</v>
      </c>
      <c r="F90" s="29">
        <v>10800</v>
      </c>
      <c r="G90" s="31">
        <v>83</v>
      </c>
    </row>
    <row r="91" spans="1:7" x14ac:dyDescent="0.25">
      <c r="A91" s="38" t="s">
        <v>125</v>
      </c>
      <c r="B91" s="39">
        <v>22.36</v>
      </c>
      <c r="C91" s="30">
        <v>72</v>
      </c>
      <c r="D91" s="30">
        <v>24.5</v>
      </c>
      <c r="E91" s="39">
        <v>52.42</v>
      </c>
      <c r="F91" s="29">
        <v>9000</v>
      </c>
      <c r="G91" s="31">
        <v>90</v>
      </c>
    </row>
    <row r="92" spans="1:7" x14ac:dyDescent="0.25">
      <c r="A92" s="38" t="s">
        <v>126</v>
      </c>
      <c r="B92" s="39">
        <v>13.82</v>
      </c>
      <c r="C92" s="30">
        <v>64.7</v>
      </c>
      <c r="D92" s="30">
        <v>42.2</v>
      </c>
      <c r="E92" s="39">
        <v>131.03</v>
      </c>
      <c r="F92" s="29">
        <v>2550</v>
      </c>
      <c r="G92" s="31">
        <v>96</v>
      </c>
    </row>
    <row r="93" spans="1:7" x14ac:dyDescent="0.25">
      <c r="A93" s="38" t="s">
        <v>127</v>
      </c>
      <c r="B93" s="39">
        <v>21.8</v>
      </c>
      <c r="C93" s="30">
        <v>64.599999999999994</v>
      </c>
      <c r="D93" s="30">
        <v>52</v>
      </c>
      <c r="E93" s="39">
        <v>1.72</v>
      </c>
      <c r="F93" s="29">
        <v>1770</v>
      </c>
      <c r="G93" s="31">
        <v>98</v>
      </c>
    </row>
    <row r="94" spans="1:7" x14ac:dyDescent="0.25">
      <c r="A94" s="38" t="s">
        <v>128</v>
      </c>
      <c r="B94" s="39">
        <v>23.69</v>
      </c>
      <c r="C94" s="30">
        <v>69.7</v>
      </c>
      <c r="D94" s="30">
        <v>46.5</v>
      </c>
      <c r="E94" s="39">
        <v>69.8</v>
      </c>
      <c r="F94" s="29">
        <v>3700</v>
      </c>
      <c r="G94" s="31">
        <v>44</v>
      </c>
    </row>
    <row r="95" spans="1:7" x14ac:dyDescent="0.25">
      <c r="A95" s="38" t="s">
        <v>129</v>
      </c>
      <c r="B95" s="39">
        <v>36.409999999999997</v>
      </c>
      <c r="C95" s="30">
        <v>35.5</v>
      </c>
      <c r="D95" s="30">
        <v>138.6</v>
      </c>
      <c r="E95" s="39">
        <v>24.46</v>
      </c>
      <c r="F95" s="29">
        <v>900</v>
      </c>
      <c r="G95" s="31">
        <v>42</v>
      </c>
    </row>
    <row r="96" spans="1:7" x14ac:dyDescent="0.25">
      <c r="A96" s="38" t="s">
        <v>130</v>
      </c>
      <c r="B96" s="39">
        <v>19.649999999999999</v>
      </c>
      <c r="C96" s="30">
        <v>55.4</v>
      </c>
      <c r="D96" s="30">
        <v>72.099999999999994</v>
      </c>
      <c r="E96" s="39">
        <v>62.25</v>
      </c>
      <c r="F96" s="29">
        <v>1500</v>
      </c>
      <c r="G96" s="31">
        <v>83</v>
      </c>
    </row>
    <row r="97" spans="1:7" x14ac:dyDescent="0.25">
      <c r="A97" s="38" t="s">
        <v>131</v>
      </c>
      <c r="B97" s="39">
        <v>34.17</v>
      </c>
      <c r="C97" s="30">
        <v>39</v>
      </c>
      <c r="D97" s="30">
        <v>72.400000000000006</v>
      </c>
      <c r="E97" s="39">
        <v>2.21</v>
      </c>
      <c r="F97" s="29">
        <v>4500</v>
      </c>
      <c r="G97" s="31">
        <v>38</v>
      </c>
    </row>
    <row r="98" spans="1:7" x14ac:dyDescent="0.25">
      <c r="A98" s="38" t="s">
        <v>132</v>
      </c>
      <c r="B98" s="39">
        <v>32.94</v>
      </c>
      <c r="C98" s="30">
        <v>58.6</v>
      </c>
      <c r="D98" s="30">
        <v>72.400000000000006</v>
      </c>
      <c r="E98" s="39">
        <v>183.76</v>
      </c>
      <c r="F98" s="29">
        <v>1400</v>
      </c>
      <c r="G98" s="31">
        <v>28</v>
      </c>
    </row>
    <row r="99" spans="1:7" x14ac:dyDescent="0.25">
      <c r="A99" s="38" t="s">
        <v>133</v>
      </c>
      <c r="B99" s="39">
        <v>11.58</v>
      </c>
      <c r="C99" s="30">
        <v>78.599999999999994</v>
      </c>
      <c r="D99" s="30">
        <v>4.3</v>
      </c>
      <c r="E99" s="39">
        <v>386.93</v>
      </c>
      <c r="F99" s="29">
        <v>25800</v>
      </c>
      <c r="G99" s="31">
        <v>99</v>
      </c>
    </row>
    <row r="100" spans="1:7" x14ac:dyDescent="0.25">
      <c r="A100" s="38" t="s">
        <v>134</v>
      </c>
      <c r="B100" s="39">
        <v>14.23</v>
      </c>
      <c r="C100" s="30">
        <v>78.2</v>
      </c>
      <c r="D100" s="30">
        <v>6.2</v>
      </c>
      <c r="E100" s="39">
        <v>14.55</v>
      </c>
      <c r="F100" s="29">
        <v>19500</v>
      </c>
      <c r="G100" s="31">
        <v>99</v>
      </c>
    </row>
    <row r="101" spans="1:7" x14ac:dyDescent="0.25">
      <c r="A101" s="38" t="s">
        <v>135</v>
      </c>
      <c r="B101" s="39">
        <v>26.98</v>
      </c>
      <c r="C101" s="30">
        <v>69.400000000000006</v>
      </c>
      <c r="D101" s="30">
        <v>32.5</v>
      </c>
      <c r="E101" s="39">
        <v>38.799999999999997</v>
      </c>
      <c r="F101" s="29">
        <v>2500</v>
      </c>
      <c r="G101" s="31">
        <v>68</v>
      </c>
    </row>
    <row r="102" spans="1:7" x14ac:dyDescent="0.25">
      <c r="A102" s="38" t="s">
        <v>136</v>
      </c>
      <c r="B102" s="39">
        <v>49.95</v>
      </c>
      <c r="C102" s="30">
        <v>41.9</v>
      </c>
      <c r="D102" s="30">
        <v>122.2</v>
      </c>
      <c r="E102" s="39">
        <v>8.4</v>
      </c>
      <c r="F102" s="29">
        <v>820</v>
      </c>
      <c r="G102" s="31">
        <v>15</v>
      </c>
    </row>
    <row r="103" spans="1:7" x14ac:dyDescent="0.25">
      <c r="A103" s="38" t="s">
        <v>137</v>
      </c>
      <c r="B103" s="39">
        <v>39.22</v>
      </c>
      <c r="C103" s="30">
        <v>50.6</v>
      </c>
      <c r="D103" s="30">
        <v>72.5</v>
      </c>
      <c r="E103" s="39">
        <v>140.66</v>
      </c>
      <c r="F103" s="29">
        <v>840</v>
      </c>
      <c r="G103" s="31">
        <v>57</v>
      </c>
    </row>
    <row r="104" spans="1:7" x14ac:dyDescent="0.25">
      <c r="A104" s="38" t="s">
        <v>138</v>
      </c>
      <c r="B104" s="39">
        <v>12.39</v>
      </c>
      <c r="C104" s="30">
        <v>78.900000000000006</v>
      </c>
      <c r="D104" s="30">
        <v>3.9</v>
      </c>
      <c r="E104" s="39">
        <v>13.96</v>
      </c>
      <c r="F104" s="29">
        <v>30800</v>
      </c>
      <c r="G104" s="31">
        <v>100</v>
      </c>
    </row>
    <row r="105" spans="1:7" x14ac:dyDescent="0.25">
      <c r="A105" s="38" t="s">
        <v>139</v>
      </c>
      <c r="B105" s="39">
        <v>37.76</v>
      </c>
      <c r="C105" s="30">
        <v>72.3</v>
      </c>
      <c r="D105" s="30">
        <v>21.8</v>
      </c>
      <c r="E105" s="39">
        <v>12.77</v>
      </c>
      <c r="F105" s="29">
        <v>8200</v>
      </c>
      <c r="G105" s="31">
        <v>80</v>
      </c>
    </row>
    <row r="106" spans="1:7" x14ac:dyDescent="0.25">
      <c r="A106" s="38" t="s">
        <v>140</v>
      </c>
      <c r="B106" s="39">
        <v>30.4</v>
      </c>
      <c r="C106" s="30">
        <v>62.7</v>
      </c>
      <c r="D106" s="30">
        <v>78.5</v>
      </c>
      <c r="E106" s="39">
        <v>183.67</v>
      </c>
      <c r="F106" s="29">
        <v>2100</v>
      </c>
      <c r="G106" s="31">
        <v>43</v>
      </c>
    </row>
    <row r="107" spans="1:7" x14ac:dyDescent="0.25">
      <c r="A107" s="38" t="s">
        <v>141</v>
      </c>
      <c r="B107" s="39">
        <v>18.600000000000001</v>
      </c>
      <c r="C107" s="30">
        <v>75.900000000000006</v>
      </c>
      <c r="D107" s="30">
        <v>19.600000000000001</v>
      </c>
      <c r="E107" s="39">
        <v>36.86</v>
      </c>
      <c r="F107" s="29">
        <v>5900</v>
      </c>
      <c r="G107" s="31">
        <v>91</v>
      </c>
    </row>
    <row r="108" spans="1:7" x14ac:dyDescent="0.25">
      <c r="A108" s="38" t="s">
        <v>142</v>
      </c>
      <c r="B108" s="39">
        <v>31.61</v>
      </c>
      <c r="C108" s="30">
        <v>63.8</v>
      </c>
      <c r="D108" s="30">
        <v>56.5</v>
      </c>
      <c r="E108" s="39">
        <v>11.17</v>
      </c>
      <c r="F108" s="29">
        <v>2400</v>
      </c>
      <c r="G108" s="31">
        <v>65</v>
      </c>
    </row>
    <row r="109" spans="1:7" x14ac:dyDescent="0.25">
      <c r="A109" s="38" t="s">
        <v>143</v>
      </c>
      <c r="B109" s="39">
        <v>30.5</v>
      </c>
      <c r="C109" s="30">
        <v>74.2</v>
      </c>
      <c r="D109" s="30">
        <v>28.8</v>
      </c>
      <c r="E109" s="39">
        <v>14.47</v>
      </c>
      <c r="F109" s="29">
        <v>4600</v>
      </c>
      <c r="G109" s="31">
        <v>92</v>
      </c>
    </row>
    <row r="110" spans="1:7" x14ac:dyDescent="0.25">
      <c r="A110" s="38" t="s">
        <v>144</v>
      </c>
      <c r="B110" s="39">
        <v>23.36</v>
      </c>
      <c r="C110" s="30">
        <v>70.599999999999994</v>
      </c>
      <c r="D110" s="30">
        <v>38.200000000000003</v>
      </c>
      <c r="E110" s="39">
        <v>21.75</v>
      </c>
      <c r="F110" s="29">
        <v>4800</v>
      </c>
      <c r="G110" s="31">
        <v>88</v>
      </c>
    </row>
    <row r="111" spans="1:7" x14ac:dyDescent="0.25">
      <c r="A111" s="38" t="s">
        <v>145</v>
      </c>
      <c r="B111" s="39">
        <v>26.88</v>
      </c>
      <c r="C111" s="30">
        <v>68.099999999999994</v>
      </c>
      <c r="D111" s="30">
        <v>27.9</v>
      </c>
      <c r="E111" s="39">
        <v>281.75</v>
      </c>
      <c r="F111" s="29">
        <v>4000</v>
      </c>
      <c r="G111" s="31">
        <v>95</v>
      </c>
    </row>
    <row r="112" spans="1:7" x14ac:dyDescent="0.25">
      <c r="A112" s="38" t="s">
        <v>146</v>
      </c>
      <c r="B112" s="39">
        <v>10.29</v>
      </c>
      <c r="C112" s="30">
        <v>73.7</v>
      </c>
      <c r="D112" s="30">
        <v>9.1999999999999993</v>
      </c>
      <c r="E112" s="39">
        <v>123.53</v>
      </c>
      <c r="F112" s="29">
        <v>8800</v>
      </c>
      <c r="G112" s="31">
        <v>99</v>
      </c>
    </row>
    <row r="113" spans="1:7" x14ac:dyDescent="0.25">
      <c r="A113" s="38" t="s">
        <v>147</v>
      </c>
      <c r="B113" s="39">
        <v>11.5</v>
      </c>
      <c r="C113" s="30">
        <v>76.099999999999994</v>
      </c>
      <c r="D113" s="30">
        <v>5.8</v>
      </c>
      <c r="E113" s="39">
        <v>109.15</v>
      </c>
      <c r="F113" s="29">
        <v>17300</v>
      </c>
      <c r="G113" s="31">
        <v>87</v>
      </c>
    </row>
    <row r="114" spans="1:7" x14ac:dyDescent="0.25">
      <c r="A114" s="38" t="s">
        <v>148</v>
      </c>
      <c r="B114" s="39">
        <v>15.04</v>
      </c>
      <c r="C114" s="30">
        <v>76</v>
      </c>
      <c r="D114" s="30">
        <v>9.3000000000000007</v>
      </c>
      <c r="E114" s="39">
        <v>434.75</v>
      </c>
      <c r="F114" s="29">
        <v>11200</v>
      </c>
      <c r="G114" s="31">
        <v>89</v>
      </c>
    </row>
    <row r="115" spans="1:7" x14ac:dyDescent="0.25">
      <c r="A115" s="38" t="s">
        <v>149</v>
      </c>
      <c r="B115" s="39">
        <v>10.81</v>
      </c>
      <c r="C115" s="30">
        <v>70.400000000000006</v>
      </c>
      <c r="D115" s="30">
        <v>18.899999999999999</v>
      </c>
      <c r="E115" s="39">
        <v>93.97</v>
      </c>
      <c r="F115" s="29">
        <v>6800</v>
      </c>
      <c r="G115" s="31">
        <v>97</v>
      </c>
    </row>
    <row r="116" spans="1:7" x14ac:dyDescent="0.25">
      <c r="A116" s="38" t="s">
        <v>150</v>
      </c>
      <c r="B116" s="39">
        <v>9.7100000000000009</v>
      </c>
      <c r="C116" s="30">
        <v>67.5</v>
      </c>
      <c r="D116" s="30">
        <v>19.8</v>
      </c>
      <c r="E116" s="39">
        <v>8.49</v>
      </c>
      <c r="F116" s="29">
        <v>8300</v>
      </c>
      <c r="G116" s="31">
        <v>98</v>
      </c>
    </row>
    <row r="117" spans="1:7" x14ac:dyDescent="0.25">
      <c r="A117" s="38" t="s">
        <v>151</v>
      </c>
      <c r="B117" s="39">
        <v>33.28</v>
      </c>
      <c r="C117" s="30">
        <v>38.700000000000003</v>
      </c>
      <c r="D117" s="30">
        <v>117.8</v>
      </c>
      <c r="E117" s="39">
        <v>280.89</v>
      </c>
      <c r="F117" s="29">
        <v>1000</v>
      </c>
      <c r="G117" s="31">
        <v>48</v>
      </c>
    </row>
    <row r="118" spans="1:7" x14ac:dyDescent="0.25">
      <c r="A118" s="38" t="s">
        <v>152</v>
      </c>
      <c r="B118" s="39">
        <v>37.25</v>
      </c>
      <c r="C118" s="30">
        <v>68.400000000000006</v>
      </c>
      <c r="D118" s="30">
        <v>49.6</v>
      </c>
      <c r="E118" s="39">
        <v>11.99</v>
      </c>
      <c r="F118" s="29">
        <v>10600</v>
      </c>
      <c r="G118" s="31">
        <v>78</v>
      </c>
    </row>
    <row r="119" spans="1:7" x14ac:dyDescent="0.25">
      <c r="A119" s="38" t="s">
        <v>153</v>
      </c>
      <c r="B119" s="39">
        <v>36.99</v>
      </c>
      <c r="C119" s="30">
        <v>62.9</v>
      </c>
      <c r="D119" s="30">
        <v>55.4</v>
      </c>
      <c r="E119" s="39">
        <v>53.98</v>
      </c>
      <c r="F119" s="29">
        <v>1580</v>
      </c>
      <c r="G119" s="31">
        <v>39</v>
      </c>
    </row>
    <row r="120" spans="1:7" x14ac:dyDescent="0.25">
      <c r="A120" s="38" t="s">
        <v>154</v>
      </c>
      <c r="B120" s="39">
        <v>12.8</v>
      </c>
      <c r="C120" s="30">
        <v>73.7</v>
      </c>
      <c r="D120" s="30">
        <v>17.399999999999999</v>
      </c>
      <c r="E120" s="39">
        <v>270.13</v>
      </c>
      <c r="F120" s="29">
        <v>2370</v>
      </c>
      <c r="G120" s="31">
        <v>93</v>
      </c>
    </row>
    <row r="121" spans="1:7" x14ac:dyDescent="0.25">
      <c r="A121" s="38" t="s">
        <v>155</v>
      </c>
      <c r="B121" s="39">
        <v>44.58</v>
      </c>
      <c r="C121" s="30">
        <v>46</v>
      </c>
      <c r="D121" s="30">
        <v>144.4</v>
      </c>
      <c r="E121" s="39">
        <v>78.27</v>
      </c>
      <c r="F121" s="29">
        <v>500</v>
      </c>
      <c r="G121" s="31">
        <v>31</v>
      </c>
    </row>
    <row r="122" spans="1:7" x14ac:dyDescent="0.25">
      <c r="A122" s="38" t="s">
        <v>156</v>
      </c>
      <c r="B122" s="39">
        <v>12.78</v>
      </c>
      <c r="C122" s="30">
        <v>80.3</v>
      </c>
      <c r="D122" s="30">
        <v>3.6</v>
      </c>
      <c r="E122" s="39">
        <v>6428.08</v>
      </c>
      <c r="F122" s="29">
        <v>24700</v>
      </c>
      <c r="G122" s="31">
        <v>94</v>
      </c>
    </row>
    <row r="123" spans="1:7" x14ac:dyDescent="0.25">
      <c r="A123" s="38" t="s">
        <v>157</v>
      </c>
      <c r="B123" s="39">
        <v>10.09</v>
      </c>
      <c r="C123" s="30">
        <v>74.2</v>
      </c>
      <c r="D123" s="30">
        <v>8.8000000000000007</v>
      </c>
      <c r="E123" s="39">
        <v>111.01</v>
      </c>
      <c r="F123" s="29">
        <v>11500</v>
      </c>
      <c r="G123" s="31">
        <v>97</v>
      </c>
    </row>
    <row r="124" spans="1:7" x14ac:dyDescent="0.25">
      <c r="A124" s="38" t="s">
        <v>158</v>
      </c>
      <c r="B124" s="39">
        <v>9.27</v>
      </c>
      <c r="C124" s="30">
        <v>75.3</v>
      </c>
      <c r="D124" s="30">
        <v>4.5</v>
      </c>
      <c r="E124" s="39">
        <v>95.34</v>
      </c>
      <c r="F124" s="29">
        <v>16000</v>
      </c>
      <c r="G124" s="31">
        <v>99</v>
      </c>
    </row>
    <row r="125" spans="1:7" x14ac:dyDescent="0.25">
      <c r="A125" s="38" t="s">
        <v>159</v>
      </c>
      <c r="B125" s="39">
        <v>46.83</v>
      </c>
      <c r="C125" s="30">
        <v>47</v>
      </c>
      <c r="D125" s="30">
        <v>122.2</v>
      </c>
      <c r="E125" s="39">
        <v>12.16</v>
      </c>
      <c r="F125" s="29">
        <v>550</v>
      </c>
      <c r="G125" s="31">
        <v>38</v>
      </c>
    </row>
    <row r="126" spans="1:7" x14ac:dyDescent="0.25">
      <c r="A126" s="38" t="s">
        <v>160</v>
      </c>
      <c r="B126" s="39">
        <v>20.63</v>
      </c>
      <c r="C126" s="30">
        <v>45.4</v>
      </c>
      <c r="D126" s="30">
        <v>61.8</v>
      </c>
      <c r="E126" s="39">
        <v>35.78</v>
      </c>
      <c r="F126" s="29">
        <v>9400</v>
      </c>
      <c r="G126" s="31">
        <v>85</v>
      </c>
    </row>
    <row r="127" spans="1:7" x14ac:dyDescent="0.25">
      <c r="A127" s="38" t="s">
        <v>161</v>
      </c>
      <c r="B127" s="39">
        <v>9.2899999999999991</v>
      </c>
      <c r="C127" s="30">
        <v>79.099999999999994</v>
      </c>
      <c r="D127" s="30">
        <v>4.9000000000000004</v>
      </c>
      <c r="E127" s="39">
        <v>79.39</v>
      </c>
      <c r="F127" s="29">
        <v>18900</v>
      </c>
      <c r="G127" s="31">
        <v>97</v>
      </c>
    </row>
    <row r="128" spans="1:7" x14ac:dyDescent="0.25">
      <c r="A128" s="38" t="s">
        <v>162</v>
      </c>
      <c r="B128" s="39">
        <v>16.36</v>
      </c>
      <c r="C128" s="30">
        <v>72.400000000000006</v>
      </c>
      <c r="D128" s="30">
        <v>15.7</v>
      </c>
      <c r="E128" s="39">
        <v>298.38</v>
      </c>
      <c r="F128" s="29">
        <v>3250</v>
      </c>
      <c r="G128" s="31">
        <v>90</v>
      </c>
    </row>
    <row r="129" spans="1:7" x14ac:dyDescent="0.25">
      <c r="A129" s="38" t="s">
        <v>163</v>
      </c>
      <c r="B129" s="39">
        <v>37.21</v>
      </c>
      <c r="C129" s="30">
        <v>57.3</v>
      </c>
      <c r="D129" s="30">
        <v>67.099999999999994</v>
      </c>
      <c r="E129" s="39">
        <v>14.8</v>
      </c>
      <c r="F129" s="29">
        <v>1360</v>
      </c>
      <c r="G129" s="31">
        <v>46</v>
      </c>
    </row>
    <row r="130" spans="1:7" x14ac:dyDescent="0.25">
      <c r="A130" s="38" t="s">
        <v>164</v>
      </c>
      <c r="B130" s="39">
        <v>39.590000000000003</v>
      </c>
      <c r="C130" s="30">
        <v>37</v>
      </c>
      <c r="D130" s="30">
        <v>109.4</v>
      </c>
      <c r="E130" s="39">
        <v>64.709999999999994</v>
      </c>
      <c r="F130" s="29">
        <v>4200</v>
      </c>
      <c r="G130" s="31">
        <v>78</v>
      </c>
    </row>
    <row r="131" spans="1:7" x14ac:dyDescent="0.25">
      <c r="A131" s="38" t="s">
        <v>165</v>
      </c>
      <c r="B131" s="39">
        <v>9.81</v>
      </c>
      <c r="C131" s="30">
        <v>79.8</v>
      </c>
      <c r="D131" s="30">
        <v>3.4</v>
      </c>
      <c r="E131" s="39">
        <v>19.73</v>
      </c>
      <c r="F131" s="29">
        <v>24700</v>
      </c>
      <c r="G131" s="31">
        <v>99</v>
      </c>
    </row>
    <row r="132" spans="1:7" x14ac:dyDescent="0.25">
      <c r="A132" s="38" t="s">
        <v>166</v>
      </c>
      <c r="B132" s="39">
        <v>9.84</v>
      </c>
      <c r="C132" s="30">
        <v>79.900000000000006</v>
      </c>
      <c r="D132" s="30">
        <v>4.4000000000000004</v>
      </c>
      <c r="E132" s="39">
        <v>176.85</v>
      </c>
      <c r="F132" s="29">
        <v>31100</v>
      </c>
      <c r="G132" s="31">
        <v>99</v>
      </c>
    </row>
    <row r="133" spans="1:7" x14ac:dyDescent="0.25">
      <c r="A133" s="38" t="s">
        <v>167</v>
      </c>
      <c r="B133" s="39">
        <v>30.11</v>
      </c>
      <c r="C133" s="30">
        <v>69.099999999999994</v>
      </c>
      <c r="D133" s="30">
        <v>32.700000000000003</v>
      </c>
      <c r="E133" s="39">
        <v>92.64</v>
      </c>
      <c r="F133" s="29">
        <v>3200</v>
      </c>
      <c r="G133" s="31">
        <v>71</v>
      </c>
    </row>
    <row r="134" spans="1:7" x14ac:dyDescent="0.25">
      <c r="A134" s="38" t="s">
        <v>168</v>
      </c>
      <c r="B134" s="39">
        <v>14.21</v>
      </c>
      <c r="C134" s="30">
        <v>76.7</v>
      </c>
      <c r="D134" s="30">
        <v>6.8</v>
      </c>
      <c r="E134" s="39">
        <v>1622.4</v>
      </c>
      <c r="F134" s="29">
        <v>17200</v>
      </c>
      <c r="G134" s="31">
        <v>94</v>
      </c>
    </row>
    <row r="135" spans="1:7" x14ac:dyDescent="0.25">
      <c r="A135" s="38" t="s">
        <v>169</v>
      </c>
      <c r="B135" s="39">
        <v>32.99</v>
      </c>
      <c r="C135" s="30">
        <v>64.3</v>
      </c>
      <c r="D135" s="30">
        <v>114.8</v>
      </c>
      <c r="E135" s="39">
        <v>46.96</v>
      </c>
      <c r="F135" s="29">
        <v>1140</v>
      </c>
      <c r="G135" s="31">
        <v>98</v>
      </c>
    </row>
    <row r="136" spans="1:7" x14ac:dyDescent="0.25">
      <c r="A136" s="38" t="s">
        <v>170</v>
      </c>
      <c r="B136" s="39">
        <v>39.119999999999997</v>
      </c>
      <c r="C136" s="30">
        <v>51.7</v>
      </c>
      <c r="D136" s="30">
        <v>77.900000000000006</v>
      </c>
      <c r="E136" s="39">
        <v>39.35</v>
      </c>
      <c r="F136" s="29">
        <v>610</v>
      </c>
      <c r="G136" s="31">
        <v>68</v>
      </c>
    </row>
    <row r="137" spans="1:7" x14ac:dyDescent="0.25">
      <c r="A137" s="38" t="s">
        <v>171</v>
      </c>
      <c r="B137" s="39">
        <v>16.39</v>
      </c>
      <c r="C137" s="30">
        <v>69.2</v>
      </c>
      <c r="D137" s="30">
        <v>29.5</v>
      </c>
      <c r="E137" s="39">
        <v>121.31</v>
      </c>
      <c r="F137" s="29">
        <v>6600</v>
      </c>
      <c r="G137" s="31">
        <v>94</v>
      </c>
    </row>
    <row r="138" spans="1:7" x14ac:dyDescent="0.25">
      <c r="A138" s="38" t="s">
        <v>172</v>
      </c>
      <c r="B138" s="39">
        <v>36.11</v>
      </c>
      <c r="C138" s="30">
        <v>54</v>
      </c>
      <c r="D138" s="30">
        <v>69.3</v>
      </c>
      <c r="E138" s="39">
        <v>93.08</v>
      </c>
      <c r="F138" s="29">
        <v>1500</v>
      </c>
      <c r="G138" s="31">
        <v>52</v>
      </c>
    </row>
    <row r="139" spans="1:7" x14ac:dyDescent="0.25">
      <c r="A139" s="38" t="s">
        <v>173</v>
      </c>
      <c r="B139" s="39">
        <v>13.66</v>
      </c>
      <c r="C139" s="30">
        <v>68.599999999999994</v>
      </c>
      <c r="D139" s="30">
        <v>24.2</v>
      </c>
      <c r="E139" s="39">
        <v>226.94</v>
      </c>
      <c r="F139" s="29">
        <v>9000</v>
      </c>
      <c r="G139" s="31">
        <v>94</v>
      </c>
    </row>
    <row r="140" spans="1:7" x14ac:dyDescent="0.25">
      <c r="A140" s="38" t="s">
        <v>174</v>
      </c>
      <c r="B140" s="39">
        <v>16.829999999999998</v>
      </c>
      <c r="C140" s="30">
        <v>74.2</v>
      </c>
      <c r="D140" s="30">
        <v>28</v>
      </c>
      <c r="E140" s="39">
        <v>59.99</v>
      </c>
      <c r="F140" s="29">
        <v>6600</v>
      </c>
      <c r="G140" s="31">
        <v>67</v>
      </c>
    </row>
    <row r="141" spans="1:7" x14ac:dyDescent="0.25">
      <c r="A141" s="38" t="s">
        <v>175</v>
      </c>
      <c r="B141" s="39">
        <v>17.95</v>
      </c>
      <c r="C141" s="30">
        <v>71.5</v>
      </c>
      <c r="D141" s="30">
        <v>45.8</v>
      </c>
      <c r="E141" s="39">
        <v>86.23</v>
      </c>
      <c r="F141" s="29">
        <v>6700</v>
      </c>
      <c r="G141" s="31">
        <v>85</v>
      </c>
    </row>
    <row r="142" spans="1:7" x14ac:dyDescent="0.25">
      <c r="A142" s="38" t="s">
        <v>176</v>
      </c>
      <c r="B142" s="39">
        <v>28.27</v>
      </c>
      <c r="C142" s="30">
        <v>61.1</v>
      </c>
      <c r="D142" s="30">
        <v>73.2</v>
      </c>
      <c r="E142" s="39">
        <v>9.61</v>
      </c>
      <c r="F142" s="29">
        <v>4700</v>
      </c>
      <c r="G142" s="31">
        <v>98</v>
      </c>
    </row>
    <row r="143" spans="1:7" x14ac:dyDescent="0.25">
      <c r="A143" s="38" t="s">
        <v>177</v>
      </c>
      <c r="B143" s="39">
        <v>47.15</v>
      </c>
      <c r="C143" s="30">
        <v>43.8</v>
      </c>
      <c r="D143" s="30">
        <v>89.4</v>
      </c>
      <c r="E143" s="39">
        <v>104.64</v>
      </c>
      <c r="F143" s="29">
        <v>1200</v>
      </c>
      <c r="G143" s="31">
        <v>63</v>
      </c>
    </row>
    <row r="144" spans="1:7" x14ac:dyDescent="0.25">
      <c r="A144" s="38" t="s">
        <v>178</v>
      </c>
      <c r="B144" s="39">
        <v>9.59</v>
      </c>
      <c r="C144" s="30">
        <v>66.3</v>
      </c>
      <c r="D144" s="30">
        <v>21.1</v>
      </c>
      <c r="E144" s="39">
        <v>80.17</v>
      </c>
      <c r="F144" s="29">
        <v>4200</v>
      </c>
      <c r="G144" s="31">
        <v>98</v>
      </c>
    </row>
    <row r="145" spans="1:7" x14ac:dyDescent="0.25">
      <c r="A145" s="38" t="s">
        <v>179</v>
      </c>
      <c r="B145" s="39">
        <v>18.3</v>
      </c>
      <c r="C145" s="30">
        <v>74.5</v>
      </c>
      <c r="D145" s="30">
        <v>16.100000000000001</v>
      </c>
      <c r="E145" s="39">
        <v>29.51</v>
      </c>
      <c r="F145" s="29">
        <v>21100</v>
      </c>
      <c r="G145" s="31">
        <v>79</v>
      </c>
    </row>
    <row r="146" spans="1:7" x14ac:dyDescent="0.25">
      <c r="A146" s="38" t="s">
        <v>180</v>
      </c>
      <c r="B146" s="39">
        <v>11.34</v>
      </c>
      <c r="C146" s="30">
        <v>78</v>
      </c>
      <c r="D146" s="30">
        <v>5.5</v>
      </c>
      <c r="E146" s="39">
        <v>244.17</v>
      </c>
      <c r="F146" s="29">
        <v>24700</v>
      </c>
      <c r="G146" s="31">
        <v>99</v>
      </c>
    </row>
    <row r="147" spans="1:7" x14ac:dyDescent="0.25">
      <c r="A147" s="38" t="s">
        <v>181</v>
      </c>
      <c r="B147" s="39">
        <v>14.1</v>
      </c>
      <c r="C147" s="30">
        <v>77.400000000000006</v>
      </c>
      <c r="D147" s="30">
        <v>6.7</v>
      </c>
      <c r="E147" s="39">
        <v>29.14</v>
      </c>
      <c r="F147" s="29">
        <v>36300</v>
      </c>
      <c r="G147" s="31">
        <v>97</v>
      </c>
    </row>
    <row r="148" spans="1:7" x14ac:dyDescent="0.25">
      <c r="A148" s="38" t="s">
        <v>182</v>
      </c>
      <c r="B148" s="39">
        <v>17.28</v>
      </c>
      <c r="C148" s="30">
        <v>75.7</v>
      </c>
      <c r="D148" s="30">
        <v>14.3</v>
      </c>
      <c r="E148" s="39">
        <v>19.22</v>
      </c>
      <c r="F148" s="29">
        <v>9200</v>
      </c>
      <c r="G148" s="31">
        <v>97</v>
      </c>
    </row>
    <row r="149" spans="1:7" x14ac:dyDescent="0.25">
      <c r="A149" s="38" t="s">
        <v>183</v>
      </c>
      <c r="B149" s="39">
        <v>26.09</v>
      </c>
      <c r="C149" s="30">
        <v>63.9</v>
      </c>
      <c r="D149" s="30">
        <v>71.7</v>
      </c>
      <c r="E149" s="39">
        <v>57.14</v>
      </c>
      <c r="F149" s="29">
        <v>2500</v>
      </c>
      <c r="G149" s="31">
        <v>99</v>
      </c>
    </row>
    <row r="150" spans="1:7" x14ac:dyDescent="0.25">
      <c r="A150" s="38" t="s">
        <v>184</v>
      </c>
      <c r="B150" s="39">
        <v>20.22</v>
      </c>
      <c r="C150" s="30">
        <v>73.599999999999994</v>
      </c>
      <c r="D150" s="30">
        <v>24.6</v>
      </c>
      <c r="E150" s="39">
        <v>26.63</v>
      </c>
      <c r="F150" s="29">
        <v>6100</v>
      </c>
      <c r="G150" s="31">
        <v>91</v>
      </c>
    </row>
    <row r="151" spans="1:7" x14ac:dyDescent="0.25">
      <c r="A151" s="38" t="s">
        <v>185</v>
      </c>
      <c r="B151" s="39">
        <v>20.89</v>
      </c>
      <c r="C151" s="30">
        <v>69.900000000000006</v>
      </c>
      <c r="D151" s="30">
        <v>29.3</v>
      </c>
      <c r="E151" s="39">
        <v>246.08</v>
      </c>
      <c r="F151" s="29">
        <v>2100</v>
      </c>
      <c r="G151" s="31">
        <v>94</v>
      </c>
    </row>
    <row r="152" spans="1:7" x14ac:dyDescent="0.25">
      <c r="A152" s="38" t="s">
        <v>186</v>
      </c>
      <c r="B152" s="39">
        <v>43.3</v>
      </c>
      <c r="C152" s="30">
        <v>60.6</v>
      </c>
      <c r="D152" s="30">
        <v>66.8</v>
      </c>
      <c r="E152" s="39">
        <v>35.42</v>
      </c>
      <c r="F152" s="29">
        <v>820</v>
      </c>
      <c r="G152" s="31">
        <v>38</v>
      </c>
    </row>
    <row r="153" spans="1:7" x14ac:dyDescent="0.25">
      <c r="A153" s="38" t="s">
        <v>187</v>
      </c>
      <c r="B153" s="39">
        <v>41.01</v>
      </c>
      <c r="C153" s="30">
        <v>37.4</v>
      </c>
      <c r="D153" s="30">
        <v>89.4</v>
      </c>
      <c r="E153" s="39">
        <v>13.23</v>
      </c>
      <c r="F153" s="29">
        <v>870</v>
      </c>
      <c r="G153" s="31">
        <v>79</v>
      </c>
    </row>
    <row r="154" spans="1:7" x14ac:dyDescent="0.25">
      <c r="A154" s="40" t="s">
        <v>188</v>
      </c>
      <c r="B154" s="41">
        <v>24.59</v>
      </c>
      <c r="C154" s="33">
        <v>36.5</v>
      </c>
      <c r="D154" s="33">
        <v>63</v>
      </c>
      <c r="E154" s="41">
        <v>29.13</v>
      </c>
      <c r="F154" s="32">
        <v>2450</v>
      </c>
      <c r="G154" s="34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BEDB5-229D-4C46-BF94-276386F91DB9}">
  <dimension ref="A1:K51"/>
  <sheetViews>
    <sheetView workbookViewId="0">
      <selection activeCell="L15" sqref="L15"/>
    </sheetView>
  </sheetViews>
  <sheetFormatPr defaultRowHeight="15" x14ac:dyDescent="0.25"/>
  <sheetData>
    <row r="1" spans="1:11" x14ac:dyDescent="0.25">
      <c r="A1" s="1" t="s">
        <v>0</v>
      </c>
      <c r="B1" s="24" t="s">
        <v>196</v>
      </c>
      <c r="C1" s="24" t="s">
        <v>14</v>
      </c>
      <c r="D1" s="24" t="s">
        <v>197</v>
      </c>
      <c r="E1" s="24" t="s">
        <v>198</v>
      </c>
      <c r="F1" s="24" t="s">
        <v>199</v>
      </c>
      <c r="G1" s="24" t="s">
        <v>200</v>
      </c>
      <c r="H1" s="24" t="s">
        <v>201</v>
      </c>
      <c r="I1" s="24" t="s">
        <v>202</v>
      </c>
      <c r="J1" s="25" t="s">
        <v>203</v>
      </c>
      <c r="K1" s="23" t="s">
        <v>204</v>
      </c>
    </row>
    <row r="2" spans="1:11" x14ac:dyDescent="0.25">
      <c r="A2" s="4">
        <v>1</v>
      </c>
      <c r="B2" s="27">
        <v>12.6</v>
      </c>
      <c r="C2" s="26">
        <v>23</v>
      </c>
      <c r="D2" s="37">
        <v>154.25</v>
      </c>
      <c r="E2" s="37">
        <v>67.75</v>
      </c>
      <c r="F2" s="27">
        <v>36.200000000000003</v>
      </c>
      <c r="G2" s="27">
        <v>93.1</v>
      </c>
      <c r="H2" s="27">
        <v>85.2</v>
      </c>
      <c r="I2" s="27">
        <v>94.5</v>
      </c>
      <c r="J2" s="43">
        <v>59</v>
      </c>
      <c r="K2" s="23" t="s">
        <v>205</v>
      </c>
    </row>
    <row r="3" spans="1:11" x14ac:dyDescent="0.25">
      <c r="A3" s="8">
        <v>2</v>
      </c>
      <c r="B3" s="30">
        <v>6.9</v>
      </c>
      <c r="C3" s="29">
        <v>22</v>
      </c>
      <c r="D3" s="39">
        <v>173.25</v>
      </c>
      <c r="E3" s="39">
        <v>72.25</v>
      </c>
      <c r="F3" s="30">
        <v>38.5</v>
      </c>
      <c r="G3" s="30">
        <v>93.6</v>
      </c>
      <c r="H3" s="30">
        <v>83</v>
      </c>
      <c r="I3" s="30">
        <v>98.7</v>
      </c>
      <c r="J3" s="44">
        <v>58.7</v>
      </c>
      <c r="K3" s="23" t="s">
        <v>206</v>
      </c>
    </row>
    <row r="4" spans="1:11" x14ac:dyDescent="0.25">
      <c r="A4" s="8">
        <v>3</v>
      </c>
      <c r="B4" s="30">
        <v>24.6</v>
      </c>
      <c r="C4" s="29">
        <v>22</v>
      </c>
      <c r="D4" s="39">
        <v>154</v>
      </c>
      <c r="E4" s="39">
        <v>66.25</v>
      </c>
      <c r="F4" s="30">
        <v>34</v>
      </c>
      <c r="G4" s="30">
        <v>95.8</v>
      </c>
      <c r="H4" s="30">
        <v>87.9</v>
      </c>
      <c r="I4" s="30">
        <v>99.2</v>
      </c>
      <c r="J4" s="44">
        <v>59.6</v>
      </c>
      <c r="K4" s="23" t="s">
        <v>207</v>
      </c>
    </row>
    <row r="5" spans="1:11" x14ac:dyDescent="0.25">
      <c r="A5" s="8">
        <v>4</v>
      </c>
      <c r="B5" s="30">
        <v>10.9</v>
      </c>
      <c r="C5" s="29">
        <v>26</v>
      </c>
      <c r="D5" s="39">
        <v>184.75</v>
      </c>
      <c r="E5" s="39">
        <v>72.25</v>
      </c>
      <c r="F5" s="30">
        <v>37.4</v>
      </c>
      <c r="G5" s="30">
        <v>101.8</v>
      </c>
      <c r="H5" s="30">
        <v>86.4</v>
      </c>
      <c r="I5" s="30">
        <v>101.2</v>
      </c>
      <c r="J5" s="44">
        <v>60.1</v>
      </c>
      <c r="K5" s="23" t="s">
        <v>208</v>
      </c>
    </row>
    <row r="6" spans="1:11" x14ac:dyDescent="0.25">
      <c r="A6" s="8">
        <v>5</v>
      </c>
      <c r="B6" s="30">
        <v>27.8</v>
      </c>
      <c r="C6" s="29">
        <v>24</v>
      </c>
      <c r="D6" s="39">
        <v>184.25</v>
      </c>
      <c r="E6" s="39">
        <v>71.25</v>
      </c>
      <c r="F6" s="30">
        <v>34.4</v>
      </c>
      <c r="G6" s="30">
        <v>97.3</v>
      </c>
      <c r="H6" s="30">
        <v>100</v>
      </c>
      <c r="I6" s="30">
        <v>101.9</v>
      </c>
      <c r="J6" s="44">
        <v>63.2</v>
      </c>
      <c r="K6" s="23" t="s">
        <v>209</v>
      </c>
    </row>
    <row r="7" spans="1:11" x14ac:dyDescent="0.25">
      <c r="A7" s="8">
        <v>6</v>
      </c>
      <c r="B7" s="30">
        <v>20.6</v>
      </c>
      <c r="C7" s="29">
        <v>24</v>
      </c>
      <c r="D7" s="39">
        <v>210.25</v>
      </c>
      <c r="E7" s="39">
        <v>74.75</v>
      </c>
      <c r="F7" s="30">
        <v>39</v>
      </c>
      <c r="G7" s="30">
        <v>104.5</v>
      </c>
      <c r="H7" s="30">
        <v>94.4</v>
      </c>
      <c r="I7" s="30">
        <v>107.8</v>
      </c>
      <c r="J7" s="44">
        <v>66</v>
      </c>
      <c r="K7" s="23" t="s">
        <v>210</v>
      </c>
    </row>
    <row r="8" spans="1:11" x14ac:dyDescent="0.25">
      <c r="A8" s="8">
        <v>7</v>
      </c>
      <c r="B8" s="30">
        <v>19</v>
      </c>
      <c r="C8" s="29">
        <v>26</v>
      </c>
      <c r="D8" s="39">
        <v>181</v>
      </c>
      <c r="E8" s="39">
        <v>69.75</v>
      </c>
      <c r="F8" s="30">
        <v>36.4</v>
      </c>
      <c r="G8" s="30">
        <v>105.1</v>
      </c>
      <c r="H8" s="30">
        <v>90.7</v>
      </c>
      <c r="I8" s="30">
        <v>100.3</v>
      </c>
      <c r="J8" s="44">
        <v>58.4</v>
      </c>
      <c r="K8" s="23" t="s">
        <v>211</v>
      </c>
    </row>
    <row r="9" spans="1:11" x14ac:dyDescent="0.25">
      <c r="A9" s="8">
        <v>8</v>
      </c>
      <c r="B9" s="30">
        <v>12.8</v>
      </c>
      <c r="C9" s="29">
        <v>25</v>
      </c>
      <c r="D9" s="39">
        <v>176</v>
      </c>
      <c r="E9" s="39">
        <v>72.5</v>
      </c>
      <c r="F9" s="30">
        <v>37.799999999999997</v>
      </c>
      <c r="G9" s="30">
        <v>99.6</v>
      </c>
      <c r="H9" s="30">
        <v>88.5</v>
      </c>
      <c r="I9" s="30">
        <v>97.1</v>
      </c>
      <c r="J9" s="44">
        <v>60</v>
      </c>
      <c r="K9" s="23" t="s">
        <v>212</v>
      </c>
    </row>
    <row r="10" spans="1:11" x14ac:dyDescent="0.25">
      <c r="A10" s="8">
        <v>9</v>
      </c>
      <c r="B10" s="30">
        <v>5.0999999999999996</v>
      </c>
      <c r="C10" s="29">
        <v>25</v>
      </c>
      <c r="D10" s="39">
        <v>191</v>
      </c>
      <c r="E10" s="39">
        <v>74</v>
      </c>
      <c r="F10" s="30">
        <v>38.1</v>
      </c>
      <c r="G10" s="30">
        <v>100.9</v>
      </c>
      <c r="H10" s="30">
        <v>82.5</v>
      </c>
      <c r="I10" s="30">
        <v>99.9</v>
      </c>
      <c r="J10" s="44">
        <v>62.9</v>
      </c>
    </row>
    <row r="11" spans="1:11" x14ac:dyDescent="0.25">
      <c r="A11" s="8">
        <v>10</v>
      </c>
      <c r="B11" s="30">
        <v>12</v>
      </c>
      <c r="C11" s="29">
        <v>23</v>
      </c>
      <c r="D11" s="39">
        <v>198.25</v>
      </c>
      <c r="E11" s="39">
        <v>73.5</v>
      </c>
      <c r="F11" s="30">
        <v>42.1</v>
      </c>
      <c r="G11" s="30">
        <v>99.6</v>
      </c>
      <c r="H11" s="30">
        <v>88.6</v>
      </c>
      <c r="I11" s="30">
        <v>104.1</v>
      </c>
      <c r="J11" s="44">
        <v>63.1</v>
      </c>
    </row>
    <row r="12" spans="1:11" x14ac:dyDescent="0.25">
      <c r="A12" s="8">
        <v>11</v>
      </c>
      <c r="B12" s="30">
        <v>7.5</v>
      </c>
      <c r="C12" s="29">
        <v>26</v>
      </c>
      <c r="D12" s="39">
        <v>186.25</v>
      </c>
      <c r="E12" s="39">
        <v>74.5</v>
      </c>
      <c r="F12" s="30">
        <v>38.5</v>
      </c>
      <c r="G12" s="30">
        <v>101.5</v>
      </c>
      <c r="H12" s="30">
        <v>83.6</v>
      </c>
      <c r="I12" s="30">
        <v>98.2</v>
      </c>
      <c r="J12" s="44">
        <v>59.7</v>
      </c>
    </row>
    <row r="13" spans="1:11" x14ac:dyDescent="0.25">
      <c r="A13" s="8">
        <v>12</v>
      </c>
      <c r="B13" s="30">
        <v>8.5</v>
      </c>
      <c r="C13" s="29">
        <v>27</v>
      </c>
      <c r="D13" s="39">
        <v>216</v>
      </c>
      <c r="E13" s="39">
        <v>76</v>
      </c>
      <c r="F13" s="30">
        <v>39.4</v>
      </c>
      <c r="G13" s="30">
        <v>103.6</v>
      </c>
      <c r="H13" s="30">
        <v>90.9</v>
      </c>
      <c r="I13" s="30">
        <v>107.7</v>
      </c>
      <c r="J13" s="44">
        <v>66.2</v>
      </c>
    </row>
    <row r="14" spans="1:11" x14ac:dyDescent="0.25">
      <c r="A14" s="8">
        <v>13</v>
      </c>
      <c r="B14" s="30">
        <v>20.5</v>
      </c>
      <c r="C14" s="29">
        <v>32</v>
      </c>
      <c r="D14" s="39">
        <v>180.5</v>
      </c>
      <c r="E14" s="39">
        <v>69.5</v>
      </c>
      <c r="F14" s="30">
        <v>38.4</v>
      </c>
      <c r="G14" s="30">
        <v>102</v>
      </c>
      <c r="H14" s="30">
        <v>91.6</v>
      </c>
      <c r="I14" s="30">
        <v>103.9</v>
      </c>
      <c r="J14" s="44">
        <v>63.4</v>
      </c>
    </row>
    <row r="15" spans="1:11" x14ac:dyDescent="0.25">
      <c r="A15" s="8">
        <v>14</v>
      </c>
      <c r="B15" s="30">
        <v>20.8</v>
      </c>
      <c r="C15" s="29">
        <v>30</v>
      </c>
      <c r="D15" s="39">
        <v>205.25</v>
      </c>
      <c r="E15" s="39">
        <v>71.25</v>
      </c>
      <c r="F15" s="30">
        <v>39.4</v>
      </c>
      <c r="G15" s="30">
        <v>104.1</v>
      </c>
      <c r="H15" s="30">
        <v>101.8</v>
      </c>
      <c r="I15" s="30">
        <v>108.6</v>
      </c>
      <c r="J15" s="44">
        <v>66</v>
      </c>
    </row>
    <row r="16" spans="1:11" x14ac:dyDescent="0.25">
      <c r="A16" s="8">
        <v>15</v>
      </c>
      <c r="B16" s="30">
        <v>21.7</v>
      </c>
      <c r="C16" s="29">
        <v>35</v>
      </c>
      <c r="D16" s="39">
        <v>187.75</v>
      </c>
      <c r="E16" s="39">
        <v>69.5</v>
      </c>
      <c r="F16" s="30">
        <v>40.5</v>
      </c>
      <c r="G16" s="30">
        <v>101.3</v>
      </c>
      <c r="H16" s="30">
        <v>96.4</v>
      </c>
      <c r="I16" s="30">
        <v>100.1</v>
      </c>
      <c r="J16" s="44">
        <v>69</v>
      </c>
    </row>
    <row r="17" spans="1:10" x14ac:dyDescent="0.25">
      <c r="A17" s="8">
        <v>16</v>
      </c>
      <c r="B17" s="30">
        <v>20.5</v>
      </c>
      <c r="C17" s="29">
        <v>35</v>
      </c>
      <c r="D17" s="39">
        <v>162.75</v>
      </c>
      <c r="E17" s="39">
        <v>66</v>
      </c>
      <c r="F17" s="30">
        <v>36.4</v>
      </c>
      <c r="G17" s="30">
        <v>99.1</v>
      </c>
      <c r="H17" s="30">
        <v>92.8</v>
      </c>
      <c r="I17" s="30">
        <v>99.2</v>
      </c>
      <c r="J17" s="44">
        <v>63.1</v>
      </c>
    </row>
    <row r="18" spans="1:10" x14ac:dyDescent="0.25">
      <c r="A18" s="8">
        <v>17</v>
      </c>
      <c r="B18" s="30">
        <v>28.1</v>
      </c>
      <c r="C18" s="29">
        <v>34</v>
      </c>
      <c r="D18" s="39">
        <v>195.75</v>
      </c>
      <c r="E18" s="39">
        <v>71</v>
      </c>
      <c r="F18" s="30">
        <v>38.9</v>
      </c>
      <c r="G18" s="30">
        <v>101.9</v>
      </c>
      <c r="H18" s="30">
        <v>96.4</v>
      </c>
      <c r="I18" s="30">
        <v>105.2</v>
      </c>
      <c r="J18" s="44">
        <v>64.8</v>
      </c>
    </row>
    <row r="19" spans="1:10" x14ac:dyDescent="0.25">
      <c r="A19" s="8">
        <v>18</v>
      </c>
      <c r="B19" s="30">
        <v>22.4</v>
      </c>
      <c r="C19" s="29">
        <v>32</v>
      </c>
      <c r="D19" s="39">
        <v>209.25</v>
      </c>
      <c r="E19" s="39">
        <v>71</v>
      </c>
      <c r="F19" s="30">
        <v>42.1</v>
      </c>
      <c r="G19" s="30">
        <v>107.6</v>
      </c>
      <c r="H19" s="30">
        <v>97.5</v>
      </c>
      <c r="I19" s="30">
        <v>107</v>
      </c>
      <c r="J19" s="44">
        <v>66.900000000000006</v>
      </c>
    </row>
    <row r="20" spans="1:10" x14ac:dyDescent="0.25">
      <c r="A20" s="8">
        <v>19</v>
      </c>
      <c r="B20" s="30">
        <v>16.100000000000001</v>
      </c>
      <c r="C20" s="29">
        <v>28</v>
      </c>
      <c r="D20" s="39">
        <v>183.75</v>
      </c>
      <c r="E20" s="39">
        <v>67.75</v>
      </c>
      <c r="F20" s="30">
        <v>38</v>
      </c>
      <c r="G20" s="30">
        <v>106.8</v>
      </c>
      <c r="H20" s="30">
        <v>89.6</v>
      </c>
      <c r="I20" s="30">
        <v>102.4</v>
      </c>
      <c r="J20" s="44">
        <v>64.2</v>
      </c>
    </row>
    <row r="21" spans="1:10" x14ac:dyDescent="0.25">
      <c r="A21" s="8">
        <v>20</v>
      </c>
      <c r="B21" s="30">
        <v>16.5</v>
      </c>
      <c r="C21" s="29">
        <v>33</v>
      </c>
      <c r="D21" s="39">
        <v>211.75</v>
      </c>
      <c r="E21" s="39">
        <v>73.5</v>
      </c>
      <c r="F21" s="30">
        <v>40</v>
      </c>
      <c r="G21" s="30">
        <v>106.2</v>
      </c>
      <c r="H21" s="30">
        <v>100.5</v>
      </c>
      <c r="I21" s="30">
        <v>109</v>
      </c>
      <c r="J21" s="44">
        <v>65.8</v>
      </c>
    </row>
    <row r="22" spans="1:10" x14ac:dyDescent="0.25">
      <c r="A22" s="8">
        <v>21</v>
      </c>
      <c r="B22" s="30">
        <v>19</v>
      </c>
      <c r="C22" s="29">
        <v>28</v>
      </c>
      <c r="D22" s="39">
        <v>179</v>
      </c>
      <c r="E22" s="39">
        <v>68</v>
      </c>
      <c r="F22" s="30">
        <v>39.1</v>
      </c>
      <c r="G22" s="30">
        <v>103.3</v>
      </c>
      <c r="H22" s="30">
        <v>95.9</v>
      </c>
      <c r="I22" s="30">
        <v>104.9</v>
      </c>
      <c r="J22" s="44">
        <v>63.5</v>
      </c>
    </row>
    <row r="23" spans="1:10" x14ac:dyDescent="0.25">
      <c r="A23" s="8">
        <v>22</v>
      </c>
      <c r="B23" s="30">
        <v>15.3</v>
      </c>
      <c r="C23" s="29">
        <v>28</v>
      </c>
      <c r="D23" s="39">
        <v>200.5</v>
      </c>
      <c r="E23" s="39">
        <v>69.75</v>
      </c>
      <c r="F23" s="30">
        <v>41.3</v>
      </c>
      <c r="G23" s="30">
        <v>111.4</v>
      </c>
      <c r="H23" s="30">
        <v>98.8</v>
      </c>
      <c r="I23" s="30">
        <v>104.8</v>
      </c>
      <c r="J23" s="44">
        <v>63.4</v>
      </c>
    </row>
    <row r="24" spans="1:10" x14ac:dyDescent="0.25">
      <c r="A24" s="8">
        <v>23</v>
      </c>
      <c r="B24" s="30">
        <v>15.7</v>
      </c>
      <c r="C24" s="29">
        <v>31</v>
      </c>
      <c r="D24" s="39">
        <v>140.25</v>
      </c>
      <c r="E24" s="39">
        <v>68.25</v>
      </c>
      <c r="F24" s="30">
        <v>33.9</v>
      </c>
      <c r="G24" s="30">
        <v>86</v>
      </c>
      <c r="H24" s="30">
        <v>76.400000000000006</v>
      </c>
      <c r="I24" s="30">
        <v>94.6</v>
      </c>
      <c r="J24" s="44">
        <v>57.4</v>
      </c>
    </row>
    <row r="25" spans="1:10" x14ac:dyDescent="0.25">
      <c r="A25" s="8">
        <v>24</v>
      </c>
      <c r="B25" s="30">
        <v>17.600000000000001</v>
      </c>
      <c r="C25" s="29">
        <v>32</v>
      </c>
      <c r="D25" s="39">
        <v>148.75</v>
      </c>
      <c r="E25" s="39">
        <v>70</v>
      </c>
      <c r="F25" s="30">
        <v>35.5</v>
      </c>
      <c r="G25" s="30">
        <v>86.7</v>
      </c>
      <c r="H25" s="30">
        <v>80</v>
      </c>
      <c r="I25" s="30">
        <v>93.4</v>
      </c>
      <c r="J25" s="44">
        <v>54.9</v>
      </c>
    </row>
    <row r="26" spans="1:10" x14ac:dyDescent="0.25">
      <c r="A26" s="8">
        <v>25</v>
      </c>
      <c r="B26" s="30">
        <v>14.2</v>
      </c>
      <c r="C26" s="29">
        <v>28</v>
      </c>
      <c r="D26" s="39">
        <v>151.25</v>
      </c>
      <c r="E26" s="39">
        <v>67.75</v>
      </c>
      <c r="F26" s="30">
        <v>34.5</v>
      </c>
      <c r="G26" s="30">
        <v>90.2</v>
      </c>
      <c r="H26" s="30">
        <v>76.3</v>
      </c>
      <c r="I26" s="30">
        <v>95.8</v>
      </c>
      <c r="J26" s="44">
        <v>58.4</v>
      </c>
    </row>
    <row r="27" spans="1:10" x14ac:dyDescent="0.25">
      <c r="A27" s="8">
        <v>26</v>
      </c>
      <c r="B27" s="30">
        <v>4.5999999999999996</v>
      </c>
      <c r="C27" s="29">
        <v>27</v>
      </c>
      <c r="D27" s="39">
        <v>159.25</v>
      </c>
      <c r="E27" s="39">
        <v>71.5</v>
      </c>
      <c r="F27" s="30">
        <v>35.700000000000003</v>
      </c>
      <c r="G27" s="30">
        <v>89.6</v>
      </c>
      <c r="H27" s="30">
        <v>79.7</v>
      </c>
      <c r="I27" s="30">
        <v>96.5</v>
      </c>
      <c r="J27" s="44">
        <v>55</v>
      </c>
    </row>
    <row r="28" spans="1:10" x14ac:dyDescent="0.25">
      <c r="A28" s="8">
        <v>27</v>
      </c>
      <c r="B28" s="30">
        <v>8.5</v>
      </c>
      <c r="C28" s="29">
        <v>34</v>
      </c>
      <c r="D28" s="39">
        <v>131.5</v>
      </c>
      <c r="E28" s="39">
        <v>67.5</v>
      </c>
      <c r="F28" s="30">
        <v>36.200000000000003</v>
      </c>
      <c r="G28" s="30">
        <v>88.6</v>
      </c>
      <c r="H28" s="30">
        <v>74.599999999999994</v>
      </c>
      <c r="I28" s="30">
        <v>85.3</v>
      </c>
      <c r="J28" s="44">
        <v>51.7</v>
      </c>
    </row>
    <row r="29" spans="1:10" x14ac:dyDescent="0.25">
      <c r="A29" s="8">
        <v>28</v>
      </c>
      <c r="B29" s="30">
        <v>22.4</v>
      </c>
      <c r="C29" s="29">
        <v>31</v>
      </c>
      <c r="D29" s="39">
        <v>148</v>
      </c>
      <c r="E29" s="39">
        <v>67.5</v>
      </c>
      <c r="F29" s="30">
        <v>38.799999999999997</v>
      </c>
      <c r="G29" s="30">
        <v>97.4</v>
      </c>
      <c r="H29" s="30">
        <v>88.7</v>
      </c>
      <c r="I29" s="30">
        <v>94.7</v>
      </c>
      <c r="J29" s="44">
        <v>57.5</v>
      </c>
    </row>
    <row r="30" spans="1:10" x14ac:dyDescent="0.25">
      <c r="A30" s="8">
        <v>29</v>
      </c>
      <c r="B30" s="30">
        <v>4.7</v>
      </c>
      <c r="C30" s="29">
        <v>27</v>
      </c>
      <c r="D30" s="39">
        <v>133.25</v>
      </c>
      <c r="E30" s="39">
        <v>64.75</v>
      </c>
      <c r="F30" s="30">
        <v>36.4</v>
      </c>
      <c r="G30" s="30">
        <v>93.5</v>
      </c>
      <c r="H30" s="30">
        <v>73.900000000000006</v>
      </c>
      <c r="I30" s="30">
        <v>88.5</v>
      </c>
      <c r="J30" s="44">
        <v>50.1</v>
      </c>
    </row>
    <row r="31" spans="1:10" x14ac:dyDescent="0.25">
      <c r="A31" s="8">
        <v>30</v>
      </c>
      <c r="B31" s="30">
        <v>9.4</v>
      </c>
      <c r="C31" s="29">
        <v>29</v>
      </c>
      <c r="D31" s="39">
        <v>160.75</v>
      </c>
      <c r="E31" s="39">
        <v>69</v>
      </c>
      <c r="F31" s="30">
        <v>36.700000000000003</v>
      </c>
      <c r="G31" s="30">
        <v>97.4</v>
      </c>
      <c r="H31" s="30">
        <v>83.5</v>
      </c>
      <c r="I31" s="30">
        <v>98.7</v>
      </c>
      <c r="J31" s="44">
        <v>58.9</v>
      </c>
    </row>
    <row r="32" spans="1:10" x14ac:dyDescent="0.25">
      <c r="A32" s="8">
        <v>31</v>
      </c>
      <c r="B32" s="30">
        <v>12.3</v>
      </c>
      <c r="C32" s="29">
        <v>32</v>
      </c>
      <c r="D32" s="39">
        <v>182</v>
      </c>
      <c r="E32" s="39">
        <v>73.75</v>
      </c>
      <c r="F32" s="30">
        <v>38.700000000000003</v>
      </c>
      <c r="G32" s="30">
        <v>100.5</v>
      </c>
      <c r="H32" s="30">
        <v>88.7</v>
      </c>
      <c r="I32" s="30">
        <v>99.8</v>
      </c>
      <c r="J32" s="44">
        <v>57.5</v>
      </c>
    </row>
    <row r="33" spans="1:10" x14ac:dyDescent="0.25">
      <c r="A33" s="8">
        <v>32</v>
      </c>
      <c r="B33" s="30">
        <v>6.5</v>
      </c>
      <c r="C33" s="29">
        <v>29</v>
      </c>
      <c r="D33" s="39">
        <v>160.25</v>
      </c>
      <c r="E33" s="39">
        <v>71.25</v>
      </c>
      <c r="F33" s="30">
        <v>37.299999999999997</v>
      </c>
      <c r="G33" s="30">
        <v>93.5</v>
      </c>
      <c r="H33" s="30">
        <v>84.5</v>
      </c>
      <c r="I33" s="30">
        <v>100.6</v>
      </c>
      <c r="J33" s="44">
        <v>58.5</v>
      </c>
    </row>
    <row r="34" spans="1:10" x14ac:dyDescent="0.25">
      <c r="A34" s="8">
        <v>33</v>
      </c>
      <c r="B34" s="30">
        <v>13.4</v>
      </c>
      <c r="C34" s="29">
        <v>27</v>
      </c>
      <c r="D34" s="39">
        <v>168</v>
      </c>
      <c r="E34" s="39">
        <v>71.25</v>
      </c>
      <c r="F34" s="30">
        <v>38.1</v>
      </c>
      <c r="G34" s="30">
        <v>93</v>
      </c>
      <c r="H34" s="30">
        <v>79.099999999999994</v>
      </c>
      <c r="I34" s="30">
        <v>94.5</v>
      </c>
      <c r="J34" s="44">
        <v>57.3</v>
      </c>
    </row>
    <row r="35" spans="1:10" x14ac:dyDescent="0.25">
      <c r="A35" s="8">
        <v>34</v>
      </c>
      <c r="B35" s="30">
        <v>20.9</v>
      </c>
      <c r="C35" s="29">
        <v>41</v>
      </c>
      <c r="D35" s="39">
        <v>218.5</v>
      </c>
      <c r="E35" s="39">
        <v>71</v>
      </c>
      <c r="F35" s="30">
        <v>39.799999999999997</v>
      </c>
      <c r="G35" s="30">
        <v>111.7</v>
      </c>
      <c r="H35" s="30">
        <v>100.5</v>
      </c>
      <c r="I35" s="30">
        <v>108.3</v>
      </c>
      <c r="J35" s="44">
        <v>67.099999999999994</v>
      </c>
    </row>
    <row r="36" spans="1:10" x14ac:dyDescent="0.25">
      <c r="A36" s="8">
        <v>35</v>
      </c>
      <c r="B36" s="30">
        <v>31.1</v>
      </c>
      <c r="C36" s="29">
        <v>41</v>
      </c>
      <c r="D36" s="39">
        <v>247.25</v>
      </c>
      <c r="E36" s="39">
        <v>73.5</v>
      </c>
      <c r="F36" s="30">
        <v>42.1</v>
      </c>
      <c r="G36" s="30">
        <v>117</v>
      </c>
      <c r="H36" s="30">
        <v>115.6</v>
      </c>
      <c r="I36" s="30">
        <v>116.1</v>
      </c>
      <c r="J36" s="44">
        <v>71.2</v>
      </c>
    </row>
    <row r="37" spans="1:10" x14ac:dyDescent="0.25">
      <c r="A37" s="8">
        <v>36</v>
      </c>
      <c r="B37" s="30">
        <v>38.200000000000003</v>
      </c>
      <c r="C37" s="29">
        <v>49</v>
      </c>
      <c r="D37" s="39">
        <v>191.75</v>
      </c>
      <c r="E37" s="39">
        <v>65</v>
      </c>
      <c r="F37" s="30">
        <v>38.4</v>
      </c>
      <c r="G37" s="30">
        <v>118.5</v>
      </c>
      <c r="H37" s="30">
        <v>113.1</v>
      </c>
      <c r="I37" s="30">
        <v>113.8</v>
      </c>
      <c r="J37" s="44">
        <v>61.9</v>
      </c>
    </row>
    <row r="38" spans="1:10" x14ac:dyDescent="0.25">
      <c r="A38" s="8">
        <v>37</v>
      </c>
      <c r="B38" s="30">
        <v>23.6</v>
      </c>
      <c r="C38" s="29">
        <v>40</v>
      </c>
      <c r="D38" s="39">
        <v>202.25</v>
      </c>
      <c r="E38" s="39">
        <v>70</v>
      </c>
      <c r="F38" s="30">
        <v>38.5</v>
      </c>
      <c r="G38" s="30">
        <v>106.5</v>
      </c>
      <c r="H38" s="30">
        <v>100.9</v>
      </c>
      <c r="I38" s="30">
        <v>106.2</v>
      </c>
      <c r="J38" s="44">
        <v>63.5</v>
      </c>
    </row>
    <row r="39" spans="1:10" x14ac:dyDescent="0.25">
      <c r="A39" s="8">
        <v>38</v>
      </c>
      <c r="B39" s="30">
        <v>27.5</v>
      </c>
      <c r="C39" s="29">
        <v>50</v>
      </c>
      <c r="D39" s="39">
        <v>196.75</v>
      </c>
      <c r="E39" s="39">
        <v>68.25</v>
      </c>
      <c r="F39" s="30">
        <v>42.1</v>
      </c>
      <c r="G39" s="30">
        <v>105.6</v>
      </c>
      <c r="H39" s="30">
        <v>98.8</v>
      </c>
      <c r="I39" s="30">
        <v>104.8</v>
      </c>
      <c r="J39" s="44">
        <v>66</v>
      </c>
    </row>
    <row r="40" spans="1:10" x14ac:dyDescent="0.25">
      <c r="A40" s="8">
        <v>39</v>
      </c>
      <c r="B40" s="30">
        <v>33.799999999999997</v>
      </c>
      <c r="C40" s="29">
        <v>46</v>
      </c>
      <c r="D40" s="39">
        <v>363.15</v>
      </c>
      <c r="E40" s="39">
        <v>72.25</v>
      </c>
      <c r="F40" s="30">
        <v>51.2</v>
      </c>
      <c r="G40" s="30">
        <v>136.19999999999999</v>
      </c>
      <c r="H40" s="30">
        <v>148.1</v>
      </c>
      <c r="I40" s="30">
        <v>147.69999999999999</v>
      </c>
      <c r="J40" s="44">
        <v>87.3</v>
      </c>
    </row>
    <row r="41" spans="1:10" x14ac:dyDescent="0.25">
      <c r="A41" s="8">
        <v>40</v>
      </c>
      <c r="B41" s="30">
        <v>31.3</v>
      </c>
      <c r="C41" s="29">
        <v>50</v>
      </c>
      <c r="D41" s="39">
        <v>203</v>
      </c>
      <c r="E41" s="39">
        <v>67</v>
      </c>
      <c r="F41" s="30">
        <v>40.200000000000003</v>
      </c>
      <c r="G41" s="30">
        <v>114.8</v>
      </c>
      <c r="H41" s="30">
        <v>108.1</v>
      </c>
      <c r="I41" s="30">
        <v>102.5</v>
      </c>
      <c r="J41" s="44">
        <v>61.3</v>
      </c>
    </row>
    <row r="42" spans="1:10" x14ac:dyDescent="0.25">
      <c r="A42" s="8">
        <v>41</v>
      </c>
      <c r="B42" s="30">
        <v>33.1</v>
      </c>
      <c r="C42" s="29">
        <v>45</v>
      </c>
      <c r="D42" s="39">
        <v>262.75</v>
      </c>
      <c r="E42" s="39">
        <v>68.75</v>
      </c>
      <c r="F42" s="30">
        <v>43.2</v>
      </c>
      <c r="G42" s="30">
        <v>128.30000000000001</v>
      </c>
      <c r="H42" s="30">
        <v>126.2</v>
      </c>
      <c r="I42" s="30">
        <v>125.6</v>
      </c>
      <c r="J42" s="44">
        <v>72.5</v>
      </c>
    </row>
    <row r="43" spans="1:10" x14ac:dyDescent="0.25">
      <c r="A43" s="8">
        <v>42</v>
      </c>
      <c r="B43" s="30">
        <v>31.7</v>
      </c>
      <c r="C43" s="29">
        <v>44</v>
      </c>
      <c r="D43" s="39">
        <v>205</v>
      </c>
      <c r="E43" s="39">
        <v>29.5</v>
      </c>
      <c r="F43" s="30">
        <v>36.6</v>
      </c>
      <c r="G43" s="30">
        <v>106</v>
      </c>
      <c r="H43" s="30">
        <v>104.3</v>
      </c>
      <c r="I43" s="30">
        <v>115.5</v>
      </c>
      <c r="J43" s="44">
        <v>70.599999999999994</v>
      </c>
    </row>
    <row r="44" spans="1:10" x14ac:dyDescent="0.25">
      <c r="A44" s="8">
        <v>43</v>
      </c>
      <c r="B44" s="30">
        <v>30.4</v>
      </c>
      <c r="C44" s="29">
        <v>48</v>
      </c>
      <c r="D44" s="39">
        <v>217</v>
      </c>
      <c r="E44" s="39">
        <v>70</v>
      </c>
      <c r="F44" s="30">
        <v>37.299999999999997</v>
      </c>
      <c r="G44" s="30">
        <v>113.3</v>
      </c>
      <c r="H44" s="30">
        <v>111.2</v>
      </c>
      <c r="I44" s="30">
        <v>114.1</v>
      </c>
      <c r="J44" s="44">
        <v>67.7</v>
      </c>
    </row>
    <row r="45" spans="1:10" x14ac:dyDescent="0.25">
      <c r="A45" s="8">
        <v>44</v>
      </c>
      <c r="B45" s="30">
        <v>30.8</v>
      </c>
      <c r="C45" s="29">
        <v>41</v>
      </c>
      <c r="D45" s="39">
        <v>212</v>
      </c>
      <c r="E45" s="39">
        <v>71.5</v>
      </c>
      <c r="F45" s="30">
        <v>41.5</v>
      </c>
      <c r="G45" s="30">
        <v>106.6</v>
      </c>
      <c r="H45" s="30">
        <v>104.3</v>
      </c>
      <c r="I45" s="30">
        <v>106</v>
      </c>
      <c r="J45" s="44">
        <v>65</v>
      </c>
    </row>
    <row r="46" spans="1:10" x14ac:dyDescent="0.25">
      <c r="A46" s="8">
        <v>45</v>
      </c>
      <c r="B46" s="30">
        <v>8.4</v>
      </c>
      <c r="C46" s="29">
        <v>39</v>
      </c>
      <c r="D46" s="39">
        <v>125.25</v>
      </c>
      <c r="E46" s="39">
        <v>68</v>
      </c>
      <c r="F46" s="30">
        <v>31.5</v>
      </c>
      <c r="G46" s="30">
        <v>85.1</v>
      </c>
      <c r="H46" s="30">
        <v>76</v>
      </c>
      <c r="I46" s="30">
        <v>88.2</v>
      </c>
      <c r="J46" s="44">
        <v>50</v>
      </c>
    </row>
    <row r="47" spans="1:10" x14ac:dyDescent="0.25">
      <c r="A47" s="8">
        <v>46</v>
      </c>
      <c r="B47" s="30">
        <v>14.1</v>
      </c>
      <c r="C47" s="29">
        <v>43</v>
      </c>
      <c r="D47" s="39">
        <v>164.25</v>
      </c>
      <c r="E47" s="39">
        <v>73.25</v>
      </c>
      <c r="F47" s="30">
        <v>35.700000000000003</v>
      </c>
      <c r="G47" s="30">
        <v>96.6</v>
      </c>
      <c r="H47" s="30">
        <v>81.5</v>
      </c>
      <c r="I47" s="30">
        <v>97.2</v>
      </c>
      <c r="J47" s="44">
        <v>58.4</v>
      </c>
    </row>
    <row r="48" spans="1:10" x14ac:dyDescent="0.25">
      <c r="A48" s="8">
        <v>47</v>
      </c>
      <c r="B48" s="30">
        <v>11.2</v>
      </c>
      <c r="C48" s="29">
        <v>40</v>
      </c>
      <c r="D48" s="39">
        <v>133.5</v>
      </c>
      <c r="E48" s="39">
        <v>67.5</v>
      </c>
      <c r="F48" s="30">
        <v>33.6</v>
      </c>
      <c r="G48" s="30">
        <v>88.2</v>
      </c>
      <c r="H48" s="30">
        <v>73.7</v>
      </c>
      <c r="I48" s="30">
        <v>88.5</v>
      </c>
      <c r="J48" s="44">
        <v>53.3</v>
      </c>
    </row>
    <row r="49" spans="1:10" x14ac:dyDescent="0.25">
      <c r="A49" s="8">
        <v>48</v>
      </c>
      <c r="B49" s="30">
        <v>6.4</v>
      </c>
      <c r="C49" s="29">
        <v>39</v>
      </c>
      <c r="D49" s="39">
        <v>148.5</v>
      </c>
      <c r="E49" s="39">
        <v>71.25</v>
      </c>
      <c r="F49" s="30">
        <v>34.6</v>
      </c>
      <c r="G49" s="30">
        <v>89.8</v>
      </c>
      <c r="H49" s="30">
        <v>79.5</v>
      </c>
      <c r="I49" s="30">
        <v>92.7</v>
      </c>
      <c r="J49" s="44">
        <v>52.7</v>
      </c>
    </row>
    <row r="50" spans="1:10" x14ac:dyDescent="0.25">
      <c r="A50" s="8">
        <v>49</v>
      </c>
      <c r="B50" s="30">
        <v>13.4</v>
      </c>
      <c r="C50" s="29">
        <v>45</v>
      </c>
      <c r="D50" s="39">
        <v>135.75</v>
      </c>
      <c r="E50" s="39">
        <v>68.5</v>
      </c>
      <c r="F50" s="30">
        <v>32.799999999999997</v>
      </c>
      <c r="G50" s="30">
        <v>92.3</v>
      </c>
      <c r="H50" s="30">
        <v>83.4</v>
      </c>
      <c r="I50" s="30">
        <v>90.4</v>
      </c>
      <c r="J50" s="44">
        <v>52</v>
      </c>
    </row>
    <row r="51" spans="1:10" x14ac:dyDescent="0.25">
      <c r="A51" s="12">
        <v>50</v>
      </c>
      <c r="B51" s="33">
        <v>5</v>
      </c>
      <c r="C51" s="32">
        <v>47</v>
      </c>
      <c r="D51" s="41">
        <v>127.5</v>
      </c>
      <c r="E51" s="41">
        <v>66.75</v>
      </c>
      <c r="F51" s="33">
        <v>34</v>
      </c>
      <c r="G51" s="33">
        <v>83.4</v>
      </c>
      <c r="H51" s="33">
        <v>70.400000000000006</v>
      </c>
      <c r="I51" s="33">
        <v>87.2</v>
      </c>
      <c r="J51" s="45">
        <v>50.6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64669-7E1C-4333-AD88-52D672085951}">
  <dimension ref="A1:H51"/>
  <sheetViews>
    <sheetView workbookViewId="0">
      <selection activeCell="H3" sqref="H2:H6"/>
    </sheetView>
  </sheetViews>
  <sheetFormatPr defaultRowHeight="15" x14ac:dyDescent="0.25"/>
  <sheetData>
    <row r="1" spans="1:8" x14ac:dyDescent="0.25">
      <c r="A1" s="46" t="s">
        <v>213</v>
      </c>
      <c r="B1" s="47" t="s">
        <v>214</v>
      </c>
      <c r="C1" s="24" t="s">
        <v>215</v>
      </c>
      <c r="D1" s="24" t="s">
        <v>216</v>
      </c>
      <c r="E1" s="24" t="s">
        <v>217</v>
      </c>
      <c r="F1" s="24" t="s">
        <v>218</v>
      </c>
      <c r="G1" s="25" t="s">
        <v>219</v>
      </c>
      <c r="H1" s="42" t="s">
        <v>189</v>
      </c>
    </row>
    <row r="2" spans="1:8" x14ac:dyDescent="0.25">
      <c r="A2" s="48" t="s">
        <v>220</v>
      </c>
      <c r="B2" s="49" t="s">
        <v>221</v>
      </c>
      <c r="C2" s="50">
        <v>986</v>
      </c>
      <c r="D2" s="51">
        <v>37.4</v>
      </c>
      <c r="E2" s="52">
        <v>10.57</v>
      </c>
      <c r="F2" s="53">
        <v>8619</v>
      </c>
      <c r="G2" s="54">
        <v>80.900000000000006</v>
      </c>
      <c r="H2" s="62" t="s">
        <v>319</v>
      </c>
    </row>
    <row r="3" spans="1:8" x14ac:dyDescent="0.25">
      <c r="A3" s="48" t="s">
        <v>222</v>
      </c>
      <c r="B3" s="49" t="s">
        <v>223</v>
      </c>
      <c r="C3" s="50">
        <v>576</v>
      </c>
      <c r="D3" s="51">
        <v>33.9</v>
      </c>
      <c r="E3" s="52">
        <v>3.48</v>
      </c>
      <c r="F3" s="53">
        <v>12885</v>
      </c>
      <c r="G3" s="54">
        <v>91.7</v>
      </c>
      <c r="H3" s="62" t="s">
        <v>320</v>
      </c>
    </row>
    <row r="4" spans="1:8" x14ac:dyDescent="0.25">
      <c r="A4" s="48" t="s">
        <v>224</v>
      </c>
      <c r="B4" s="49" t="s">
        <v>225</v>
      </c>
      <c r="C4" s="50">
        <v>990</v>
      </c>
      <c r="D4" s="51">
        <v>34.5</v>
      </c>
      <c r="E4" s="52">
        <v>6.85</v>
      </c>
      <c r="F4" s="53">
        <v>7309</v>
      </c>
      <c r="G4" s="54">
        <v>85.7</v>
      </c>
      <c r="H4" s="62" t="s">
        <v>321</v>
      </c>
    </row>
    <row r="5" spans="1:8" x14ac:dyDescent="0.25">
      <c r="A5" s="48" t="s">
        <v>226</v>
      </c>
      <c r="B5" s="49" t="s">
        <v>227</v>
      </c>
      <c r="C5" s="50">
        <v>1094</v>
      </c>
      <c r="D5" s="51">
        <v>37</v>
      </c>
      <c r="E5" s="52">
        <v>11.01</v>
      </c>
      <c r="F5" s="53">
        <v>7080</v>
      </c>
      <c r="G5" s="54">
        <v>81.400000000000006</v>
      </c>
      <c r="H5" s="62" t="s">
        <v>322</v>
      </c>
    </row>
    <row r="6" spans="1:8" x14ac:dyDescent="0.25">
      <c r="A6" s="48" t="s">
        <v>228</v>
      </c>
      <c r="B6" s="49" t="s">
        <v>229</v>
      </c>
      <c r="C6" s="50">
        <v>685</v>
      </c>
      <c r="D6" s="51">
        <v>34.4</v>
      </c>
      <c r="E6" s="52">
        <v>4.63</v>
      </c>
      <c r="F6" s="53">
        <v>6474</v>
      </c>
      <c r="G6" s="54">
        <v>80.3</v>
      </c>
      <c r="H6" s="16" t="s">
        <v>323</v>
      </c>
    </row>
    <row r="7" spans="1:8" x14ac:dyDescent="0.25">
      <c r="A7" s="48" t="s">
        <v>230</v>
      </c>
      <c r="B7" s="49" t="s">
        <v>231</v>
      </c>
      <c r="C7" s="50">
        <v>717</v>
      </c>
      <c r="D7" s="51">
        <v>34.700000000000003</v>
      </c>
      <c r="E7" s="52">
        <v>9.3699999999999992</v>
      </c>
      <c r="F7" s="53">
        <v>6533</v>
      </c>
      <c r="G7" s="54">
        <v>89.2</v>
      </c>
    </row>
    <row r="8" spans="1:8" x14ac:dyDescent="0.25">
      <c r="A8" s="48" t="s">
        <v>232</v>
      </c>
      <c r="B8" s="49" t="s">
        <v>233</v>
      </c>
      <c r="C8" s="50">
        <v>444</v>
      </c>
      <c r="D8" s="51">
        <v>39.299999999999997</v>
      </c>
      <c r="E8" s="52">
        <v>4.3600000000000003</v>
      </c>
      <c r="F8" s="53">
        <v>8649</v>
      </c>
      <c r="G8" s="54">
        <v>90</v>
      </c>
    </row>
    <row r="9" spans="1:8" x14ac:dyDescent="0.25">
      <c r="A9" s="48" t="s">
        <v>234</v>
      </c>
      <c r="B9" s="49" t="s">
        <v>235</v>
      </c>
      <c r="C9" s="50">
        <v>648</v>
      </c>
      <c r="D9" s="51">
        <v>37.9</v>
      </c>
      <c r="E9" s="52">
        <v>5.22</v>
      </c>
      <c r="F9" s="53">
        <v>6326</v>
      </c>
      <c r="G9" s="54">
        <v>86.8</v>
      </c>
    </row>
    <row r="10" spans="1:8" x14ac:dyDescent="0.25">
      <c r="A10" s="48" t="s">
        <v>236</v>
      </c>
      <c r="B10" s="49" t="s">
        <v>237</v>
      </c>
      <c r="C10" s="50">
        <v>956</v>
      </c>
      <c r="D10" s="51">
        <v>39.5</v>
      </c>
      <c r="E10" s="52">
        <v>6.16</v>
      </c>
      <c r="F10" s="53">
        <v>7009</v>
      </c>
      <c r="G10" s="54">
        <v>86.8</v>
      </c>
    </row>
    <row r="11" spans="1:8" x14ac:dyDescent="0.25">
      <c r="A11" s="48" t="s">
        <v>238</v>
      </c>
      <c r="B11" s="49" t="s">
        <v>85</v>
      </c>
      <c r="C11" s="50">
        <v>940</v>
      </c>
      <c r="D11" s="51">
        <v>34.299999999999997</v>
      </c>
      <c r="E11" s="52">
        <v>9.1300000000000008</v>
      </c>
      <c r="F11" s="53">
        <v>6247</v>
      </c>
      <c r="G11" s="54">
        <v>85.7</v>
      </c>
    </row>
    <row r="12" spans="1:8" x14ac:dyDescent="0.25">
      <c r="A12" s="48" t="s">
        <v>239</v>
      </c>
      <c r="B12" s="49" t="s">
        <v>240</v>
      </c>
      <c r="C12" s="50">
        <v>857</v>
      </c>
      <c r="D12" s="51">
        <v>38.5</v>
      </c>
      <c r="E12" s="52">
        <v>3.52</v>
      </c>
      <c r="F12" s="53">
        <v>9651</v>
      </c>
      <c r="G12" s="54">
        <v>87.3</v>
      </c>
    </row>
    <row r="13" spans="1:8" x14ac:dyDescent="0.25">
      <c r="A13" s="48" t="s">
        <v>241</v>
      </c>
      <c r="B13" s="49" t="s">
        <v>242</v>
      </c>
      <c r="C13" s="50">
        <v>547</v>
      </c>
      <c r="D13" s="51">
        <v>34.6</v>
      </c>
      <c r="E13" s="52">
        <v>8.51</v>
      </c>
      <c r="F13" s="53">
        <v>6437</v>
      </c>
      <c r="G13" s="54">
        <v>89.1</v>
      </c>
    </row>
    <row r="14" spans="1:8" x14ac:dyDescent="0.25">
      <c r="A14" s="48" t="s">
        <v>243</v>
      </c>
      <c r="B14" s="49" t="s">
        <v>244</v>
      </c>
      <c r="C14" s="50">
        <v>597</v>
      </c>
      <c r="D14" s="51">
        <v>35.6</v>
      </c>
      <c r="E14" s="52">
        <v>8.43</v>
      </c>
      <c r="F14" s="53">
        <v>6043</v>
      </c>
      <c r="G14" s="54">
        <v>87.3</v>
      </c>
    </row>
    <row r="15" spans="1:8" x14ac:dyDescent="0.25">
      <c r="A15" s="48" t="s">
        <v>245</v>
      </c>
      <c r="B15" s="49" t="s">
        <v>246</v>
      </c>
      <c r="C15" s="50">
        <v>676</v>
      </c>
      <c r="D15" s="51">
        <v>36.1</v>
      </c>
      <c r="E15" s="52">
        <v>12.63</v>
      </c>
      <c r="F15" s="53">
        <v>6079</v>
      </c>
      <c r="G15" s="54">
        <v>87.2</v>
      </c>
    </row>
    <row r="16" spans="1:8" x14ac:dyDescent="0.25">
      <c r="A16" s="48" t="s">
        <v>247</v>
      </c>
      <c r="B16" s="49" t="s">
        <v>248</v>
      </c>
      <c r="C16" s="50">
        <v>615</v>
      </c>
      <c r="D16" s="51">
        <v>38.6</v>
      </c>
      <c r="E16" s="52">
        <v>6.29</v>
      </c>
      <c r="F16" s="53">
        <v>6505</v>
      </c>
      <c r="G16" s="54">
        <v>89.9</v>
      </c>
    </row>
    <row r="17" spans="1:7" x14ac:dyDescent="0.25">
      <c r="A17" s="48" t="s">
        <v>249</v>
      </c>
      <c r="B17" s="49" t="s">
        <v>250</v>
      </c>
      <c r="C17" s="50">
        <v>731</v>
      </c>
      <c r="D17" s="51">
        <v>36.1</v>
      </c>
      <c r="E17" s="52">
        <v>8.2799999999999994</v>
      </c>
      <c r="F17" s="53">
        <v>6993</v>
      </c>
      <c r="G17" s="54">
        <v>91.4</v>
      </c>
    </row>
    <row r="18" spans="1:7" x14ac:dyDescent="0.25">
      <c r="A18" s="48" t="s">
        <v>251</v>
      </c>
      <c r="B18" s="49" t="s">
        <v>252</v>
      </c>
      <c r="C18" s="50">
        <v>625</v>
      </c>
      <c r="D18" s="51">
        <v>37.5</v>
      </c>
      <c r="E18" s="52">
        <v>9.67</v>
      </c>
      <c r="F18" s="53">
        <v>7649</v>
      </c>
      <c r="G18" s="54">
        <v>78.900000000000006</v>
      </c>
    </row>
    <row r="19" spans="1:7" x14ac:dyDescent="0.25">
      <c r="A19" s="48" t="s">
        <v>253</v>
      </c>
      <c r="B19" s="49" t="s">
        <v>254</v>
      </c>
      <c r="C19" s="50">
        <v>1005</v>
      </c>
      <c r="D19" s="51">
        <v>35.4</v>
      </c>
      <c r="E19" s="52">
        <v>8.1</v>
      </c>
      <c r="F19" s="53">
        <v>7298</v>
      </c>
      <c r="G19" s="54">
        <v>80.2</v>
      </c>
    </row>
    <row r="20" spans="1:7" x14ac:dyDescent="0.25">
      <c r="A20" s="48" t="s">
        <v>255</v>
      </c>
      <c r="B20" s="49" t="s">
        <v>256</v>
      </c>
      <c r="C20" s="50">
        <v>481</v>
      </c>
      <c r="D20" s="51">
        <v>41.2</v>
      </c>
      <c r="E20" s="52">
        <v>5.01</v>
      </c>
      <c r="F20" s="53">
        <v>8248</v>
      </c>
      <c r="G20" s="54">
        <v>87.2</v>
      </c>
    </row>
    <row r="21" spans="1:7" x14ac:dyDescent="0.25">
      <c r="A21" s="48" t="s">
        <v>257</v>
      </c>
      <c r="B21" s="49" t="s">
        <v>258</v>
      </c>
      <c r="C21" s="50">
        <v>660</v>
      </c>
      <c r="D21" s="51">
        <v>37.1</v>
      </c>
      <c r="E21" s="52">
        <v>6.31</v>
      </c>
      <c r="F21" s="53">
        <v>11645</v>
      </c>
      <c r="G21" s="54">
        <v>87</v>
      </c>
    </row>
    <row r="22" spans="1:7" x14ac:dyDescent="0.25">
      <c r="A22" s="48" t="s">
        <v>259</v>
      </c>
      <c r="B22" s="49" t="s">
        <v>260</v>
      </c>
      <c r="C22" s="50">
        <v>537</v>
      </c>
      <c r="D22" s="51">
        <v>38.200000000000003</v>
      </c>
      <c r="E22" s="52">
        <v>4.0999999999999996</v>
      </c>
      <c r="F22" s="53">
        <v>8279</v>
      </c>
      <c r="G22" s="54">
        <v>87.5</v>
      </c>
    </row>
    <row r="23" spans="1:7" x14ac:dyDescent="0.25">
      <c r="A23" s="48" t="s">
        <v>261</v>
      </c>
      <c r="B23" s="49" t="s">
        <v>262</v>
      </c>
      <c r="C23" s="50">
        <v>637</v>
      </c>
      <c r="D23" s="51">
        <v>36.9</v>
      </c>
      <c r="E23" s="52">
        <v>8.77</v>
      </c>
      <c r="F23" s="53">
        <v>5981</v>
      </c>
      <c r="G23" s="54">
        <v>88.5</v>
      </c>
    </row>
    <row r="24" spans="1:7" x14ac:dyDescent="0.25">
      <c r="A24" s="48" t="s">
        <v>263</v>
      </c>
      <c r="B24" s="49" t="s">
        <v>264</v>
      </c>
      <c r="C24" s="50">
        <v>550</v>
      </c>
      <c r="D24" s="51">
        <v>36.700000000000003</v>
      </c>
      <c r="E24" s="52">
        <v>4.9800000000000004</v>
      </c>
      <c r="F24" s="53">
        <v>5644</v>
      </c>
      <c r="G24" s="54">
        <v>92.7</v>
      </c>
    </row>
    <row r="25" spans="1:7" x14ac:dyDescent="0.25">
      <c r="A25" s="48" t="s">
        <v>265</v>
      </c>
      <c r="B25" s="49" t="s">
        <v>266</v>
      </c>
      <c r="C25" s="50">
        <v>953</v>
      </c>
      <c r="D25" s="51">
        <v>35.5</v>
      </c>
      <c r="E25" s="52">
        <v>8.1199999999999992</v>
      </c>
      <c r="F25" s="53">
        <v>7695</v>
      </c>
      <c r="G25" s="54">
        <v>79.900000000000006</v>
      </c>
    </row>
    <row r="26" spans="1:7" x14ac:dyDescent="0.25">
      <c r="A26" s="48" t="s">
        <v>267</v>
      </c>
      <c r="B26" s="49" t="s">
        <v>268</v>
      </c>
      <c r="C26" s="50">
        <v>703</v>
      </c>
      <c r="D26" s="51">
        <v>37.4</v>
      </c>
      <c r="E26" s="52">
        <v>9.11</v>
      </c>
      <c r="F26" s="53">
        <v>7947</v>
      </c>
      <c r="G26" s="54">
        <v>85.4</v>
      </c>
    </row>
    <row r="27" spans="1:7" x14ac:dyDescent="0.25">
      <c r="A27" s="48" t="s">
        <v>269</v>
      </c>
      <c r="B27" s="49" t="s">
        <v>270</v>
      </c>
      <c r="C27" s="50">
        <v>379</v>
      </c>
      <c r="D27" s="51">
        <v>40.200000000000003</v>
      </c>
      <c r="E27" s="52">
        <v>6.32</v>
      </c>
      <c r="F27" s="53">
        <v>8085</v>
      </c>
      <c r="G27" s="54">
        <v>92.1</v>
      </c>
    </row>
    <row r="28" spans="1:7" x14ac:dyDescent="0.25">
      <c r="A28" s="48" t="s">
        <v>271</v>
      </c>
      <c r="B28" s="49" t="s">
        <v>272</v>
      </c>
      <c r="C28" s="50">
        <v>562</v>
      </c>
      <c r="D28" s="51">
        <v>36.200000000000003</v>
      </c>
      <c r="E28" s="52">
        <v>6.95</v>
      </c>
      <c r="F28" s="53">
        <v>6751</v>
      </c>
      <c r="G28" s="54">
        <v>89.7</v>
      </c>
    </row>
    <row r="29" spans="1:7" x14ac:dyDescent="0.25">
      <c r="A29" s="48" t="s">
        <v>273</v>
      </c>
      <c r="B29" s="49" t="s">
        <v>274</v>
      </c>
      <c r="C29" s="50">
        <v>991</v>
      </c>
      <c r="D29" s="51">
        <v>35.200000000000003</v>
      </c>
      <c r="E29" s="52">
        <v>10.11</v>
      </c>
      <c r="F29" s="53">
        <v>5469</v>
      </c>
      <c r="G29" s="54">
        <v>86.6</v>
      </c>
    </row>
    <row r="30" spans="1:7" x14ac:dyDescent="0.25">
      <c r="A30" s="48" t="s">
        <v>275</v>
      </c>
      <c r="B30" s="49" t="s">
        <v>276</v>
      </c>
      <c r="C30" s="50">
        <v>382</v>
      </c>
      <c r="D30" s="51">
        <v>39.5</v>
      </c>
      <c r="E30" s="52">
        <v>4.6399999999999997</v>
      </c>
      <c r="F30" s="53">
        <v>6124</v>
      </c>
      <c r="G30" s="54">
        <v>91.9</v>
      </c>
    </row>
    <row r="31" spans="1:7" x14ac:dyDescent="0.25">
      <c r="A31" s="48" t="s">
        <v>277</v>
      </c>
      <c r="B31" s="49" t="s">
        <v>278</v>
      </c>
      <c r="C31" s="50">
        <v>472</v>
      </c>
      <c r="D31" s="51">
        <v>38</v>
      </c>
      <c r="E31" s="52">
        <v>5.67</v>
      </c>
      <c r="F31" s="53">
        <v>6353</v>
      </c>
      <c r="G31" s="54">
        <v>87</v>
      </c>
    </row>
    <row r="32" spans="1:7" x14ac:dyDescent="0.25">
      <c r="A32" s="48" t="s">
        <v>279</v>
      </c>
      <c r="B32" s="49" t="s">
        <v>280</v>
      </c>
      <c r="C32" s="50">
        <v>1047</v>
      </c>
      <c r="D32" s="51">
        <v>36.200000000000003</v>
      </c>
      <c r="E32" s="52">
        <v>6.53</v>
      </c>
      <c r="F32" s="53">
        <v>10437</v>
      </c>
      <c r="G32" s="54">
        <v>81</v>
      </c>
    </row>
    <row r="33" spans="1:7" x14ac:dyDescent="0.25">
      <c r="A33" s="48" t="s">
        <v>281</v>
      </c>
      <c r="B33" s="49" t="s">
        <v>282</v>
      </c>
      <c r="C33" s="50">
        <v>368</v>
      </c>
      <c r="D33" s="51">
        <v>37.5</v>
      </c>
      <c r="E33" s="52">
        <v>5.69</v>
      </c>
      <c r="F33" s="53">
        <v>7484</v>
      </c>
      <c r="G33" s="54">
        <v>85.6</v>
      </c>
    </row>
    <row r="34" spans="1:7" x14ac:dyDescent="0.25">
      <c r="A34" s="48" t="s">
        <v>283</v>
      </c>
      <c r="B34" s="49" t="s">
        <v>284</v>
      </c>
      <c r="C34" s="50">
        <v>1185</v>
      </c>
      <c r="D34" s="51">
        <v>36.200000000000003</v>
      </c>
      <c r="E34" s="52">
        <v>4.9400000000000004</v>
      </c>
      <c r="F34" s="53">
        <v>6467</v>
      </c>
      <c r="G34" s="54">
        <v>84</v>
      </c>
    </row>
    <row r="35" spans="1:7" x14ac:dyDescent="0.25">
      <c r="A35" s="48" t="s">
        <v>285</v>
      </c>
      <c r="B35" s="49" t="s">
        <v>286</v>
      </c>
      <c r="C35" s="50">
        <v>301</v>
      </c>
      <c r="D35" s="51">
        <v>39.1</v>
      </c>
      <c r="E35" s="52">
        <v>5.57</v>
      </c>
      <c r="F35" s="53">
        <v>9513</v>
      </c>
      <c r="G35" s="54">
        <v>90</v>
      </c>
    </row>
    <row r="36" spans="1:7" x14ac:dyDescent="0.25">
      <c r="A36" s="48" t="s">
        <v>287</v>
      </c>
      <c r="B36" s="49" t="s">
        <v>288</v>
      </c>
      <c r="C36" s="50">
        <v>846</v>
      </c>
      <c r="D36" s="51">
        <v>37.6</v>
      </c>
      <c r="E36" s="52">
        <v>11.82</v>
      </c>
      <c r="F36" s="53">
        <v>6388</v>
      </c>
      <c r="G36" s="54">
        <v>87.9</v>
      </c>
    </row>
    <row r="37" spans="1:7" x14ac:dyDescent="0.25">
      <c r="A37" s="48" t="s">
        <v>289</v>
      </c>
      <c r="B37" s="49" t="s">
        <v>290</v>
      </c>
      <c r="C37" s="50">
        <v>1000</v>
      </c>
      <c r="D37" s="51">
        <v>36.5</v>
      </c>
      <c r="E37" s="52">
        <v>11.2</v>
      </c>
      <c r="F37" s="53">
        <v>7562</v>
      </c>
      <c r="G37" s="54">
        <v>85.2</v>
      </c>
    </row>
    <row r="38" spans="1:7" x14ac:dyDescent="0.25">
      <c r="A38" s="48" t="s">
        <v>291</v>
      </c>
      <c r="B38" s="49" t="s">
        <v>292</v>
      </c>
      <c r="C38" s="50">
        <v>837</v>
      </c>
      <c r="D38" s="51">
        <v>37</v>
      </c>
      <c r="E38" s="52">
        <v>9.09</v>
      </c>
      <c r="F38" s="53">
        <v>6084</v>
      </c>
      <c r="G38" s="54">
        <v>88.7</v>
      </c>
    </row>
    <row r="39" spans="1:7" x14ac:dyDescent="0.25">
      <c r="A39" s="48" t="s">
        <v>293</v>
      </c>
      <c r="B39" s="49" t="s">
        <v>294</v>
      </c>
      <c r="C39" s="50">
        <v>439</v>
      </c>
      <c r="D39" s="51">
        <v>39.700000000000003</v>
      </c>
      <c r="E39" s="52">
        <v>6.35</v>
      </c>
      <c r="F39" s="53">
        <v>7649</v>
      </c>
      <c r="G39" s="54">
        <v>86.3</v>
      </c>
    </row>
    <row r="40" spans="1:7" x14ac:dyDescent="0.25">
      <c r="A40" s="48" t="s">
        <v>295</v>
      </c>
      <c r="B40" s="49" t="s">
        <v>296</v>
      </c>
      <c r="C40" s="50">
        <v>506</v>
      </c>
      <c r="D40" s="51">
        <v>38.4</v>
      </c>
      <c r="E40" s="52">
        <v>5.37</v>
      </c>
      <c r="F40" s="53">
        <v>7630</v>
      </c>
      <c r="G40" s="54">
        <v>84</v>
      </c>
    </row>
    <row r="41" spans="1:7" x14ac:dyDescent="0.25">
      <c r="A41" s="48" t="s">
        <v>297</v>
      </c>
      <c r="B41" s="49" t="s">
        <v>298</v>
      </c>
      <c r="C41" s="50">
        <v>1034</v>
      </c>
      <c r="D41" s="51">
        <v>37.1</v>
      </c>
      <c r="E41" s="52">
        <v>3.66</v>
      </c>
      <c r="F41" s="53">
        <v>7158</v>
      </c>
      <c r="G41" s="54">
        <v>83</v>
      </c>
    </row>
    <row r="42" spans="1:7" x14ac:dyDescent="0.25">
      <c r="A42" s="48" t="s">
        <v>299</v>
      </c>
      <c r="B42" s="49" t="s">
        <v>300</v>
      </c>
      <c r="C42" s="50">
        <v>409</v>
      </c>
      <c r="D42" s="51">
        <v>37</v>
      </c>
      <c r="E42" s="52">
        <v>5.4</v>
      </c>
      <c r="F42" s="53">
        <v>8564</v>
      </c>
      <c r="G42" s="54">
        <v>88.5</v>
      </c>
    </row>
    <row r="43" spans="1:7" x14ac:dyDescent="0.25">
      <c r="A43" s="48" t="s">
        <v>301</v>
      </c>
      <c r="B43" s="49" t="s">
        <v>302</v>
      </c>
      <c r="C43" s="50">
        <v>1020</v>
      </c>
      <c r="D43" s="51">
        <v>37.299999999999997</v>
      </c>
      <c r="E43" s="52">
        <v>11.05</v>
      </c>
      <c r="F43" s="53">
        <v>7701</v>
      </c>
      <c r="G43" s="54">
        <v>81.8</v>
      </c>
    </row>
    <row r="44" spans="1:7" x14ac:dyDescent="0.25">
      <c r="A44" s="48" t="s">
        <v>303</v>
      </c>
      <c r="B44" s="49" t="s">
        <v>304</v>
      </c>
      <c r="C44" s="50">
        <v>979</v>
      </c>
      <c r="D44" s="51">
        <v>33.200000000000003</v>
      </c>
      <c r="E44" s="52">
        <v>5.32</v>
      </c>
      <c r="F44" s="53">
        <v>6308</v>
      </c>
      <c r="G44" s="54">
        <v>78.2</v>
      </c>
    </row>
    <row r="45" spans="1:7" x14ac:dyDescent="0.25">
      <c r="A45" s="48" t="s">
        <v>305</v>
      </c>
      <c r="B45" s="49" t="s">
        <v>306</v>
      </c>
      <c r="C45" s="50">
        <v>637</v>
      </c>
      <c r="D45" s="51">
        <v>28.5</v>
      </c>
      <c r="E45" s="52">
        <v>9.07</v>
      </c>
      <c r="F45" s="53">
        <v>5728</v>
      </c>
      <c r="G45" s="54">
        <v>92.7</v>
      </c>
    </row>
    <row r="46" spans="1:7" x14ac:dyDescent="0.25">
      <c r="A46" s="48" t="s">
        <v>307</v>
      </c>
      <c r="B46" s="49" t="s">
        <v>308</v>
      </c>
      <c r="C46" s="50">
        <v>545</v>
      </c>
      <c r="D46" s="51">
        <v>40.700000000000003</v>
      </c>
      <c r="E46" s="52">
        <v>4.16</v>
      </c>
      <c r="F46" s="53">
        <v>7456</v>
      </c>
      <c r="G46" s="54">
        <v>90</v>
      </c>
    </row>
    <row r="47" spans="1:7" x14ac:dyDescent="0.25">
      <c r="A47" s="48" t="s">
        <v>309</v>
      </c>
      <c r="B47" s="49" t="s">
        <v>310</v>
      </c>
      <c r="C47" s="50">
        <v>386</v>
      </c>
      <c r="D47" s="51">
        <v>37.200000000000003</v>
      </c>
      <c r="E47" s="52">
        <v>5.97</v>
      </c>
      <c r="F47" s="53">
        <v>12150</v>
      </c>
      <c r="G47" s="54">
        <v>86.1</v>
      </c>
    </row>
    <row r="48" spans="1:7" x14ac:dyDescent="0.25">
      <c r="A48" s="48" t="s">
        <v>311</v>
      </c>
      <c r="B48" s="49" t="s">
        <v>312</v>
      </c>
      <c r="C48" s="50">
        <v>977</v>
      </c>
      <c r="D48" s="51">
        <v>36.700000000000003</v>
      </c>
      <c r="E48" s="52">
        <v>7.56</v>
      </c>
      <c r="F48" s="53">
        <v>7228</v>
      </c>
      <c r="G48" s="54">
        <v>91.5</v>
      </c>
    </row>
    <row r="49" spans="1:7" x14ac:dyDescent="0.25">
      <c r="A49" s="48" t="s">
        <v>313</v>
      </c>
      <c r="B49" s="49" t="s">
        <v>314</v>
      </c>
      <c r="C49" s="50">
        <v>602</v>
      </c>
      <c r="D49" s="51">
        <v>40.700000000000003</v>
      </c>
      <c r="E49" s="52">
        <v>9.76</v>
      </c>
      <c r="F49" s="53">
        <v>8364</v>
      </c>
      <c r="G49" s="54">
        <v>82.4</v>
      </c>
    </row>
    <row r="50" spans="1:7" x14ac:dyDescent="0.25">
      <c r="A50" s="48" t="s">
        <v>315</v>
      </c>
      <c r="B50" s="49" t="s">
        <v>316</v>
      </c>
      <c r="C50" s="50">
        <v>433</v>
      </c>
      <c r="D50" s="51">
        <v>37.9</v>
      </c>
      <c r="E50" s="52">
        <v>6.89</v>
      </c>
      <c r="F50" s="53">
        <v>5728</v>
      </c>
      <c r="G50" s="54">
        <v>90.5</v>
      </c>
    </row>
    <row r="51" spans="1:7" x14ac:dyDescent="0.25">
      <c r="A51" s="55" t="s">
        <v>317</v>
      </c>
      <c r="B51" s="56" t="s">
        <v>318</v>
      </c>
      <c r="C51" s="57">
        <v>541</v>
      </c>
      <c r="D51" s="58">
        <v>39.1</v>
      </c>
      <c r="E51" s="59">
        <v>6.44</v>
      </c>
      <c r="F51" s="60">
        <v>8673</v>
      </c>
      <c r="G51" s="61">
        <v>90.9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8F1D-B268-42CE-A0F7-2A3382F37EC4}">
  <dimension ref="A1:G51"/>
  <sheetViews>
    <sheetView workbookViewId="0">
      <selection activeCell="K17" sqref="K17"/>
    </sheetView>
  </sheetViews>
  <sheetFormatPr defaultRowHeight="15" x14ac:dyDescent="0.25"/>
  <sheetData>
    <row r="1" spans="1:7" x14ac:dyDescent="0.25">
      <c r="A1" s="46" t="s">
        <v>214</v>
      </c>
      <c r="B1" s="2" t="s">
        <v>324</v>
      </c>
      <c r="C1" s="2" t="s">
        <v>325</v>
      </c>
      <c r="D1" s="2" t="s">
        <v>326</v>
      </c>
      <c r="E1" s="2" t="s">
        <v>327</v>
      </c>
      <c r="F1" s="3" t="s">
        <v>328</v>
      </c>
      <c r="G1" s="62" t="s">
        <v>335</v>
      </c>
    </row>
    <row r="2" spans="1:7" x14ac:dyDescent="0.25">
      <c r="A2" s="63" t="s">
        <v>221</v>
      </c>
      <c r="B2" s="64">
        <v>366</v>
      </c>
      <c r="C2" s="65">
        <v>20842</v>
      </c>
      <c r="D2" s="66">
        <v>5.0999999999999996</v>
      </c>
      <c r="E2" s="66">
        <v>16.899999999999999</v>
      </c>
      <c r="F2" s="67">
        <v>6.1</v>
      </c>
      <c r="G2" s="73" t="s">
        <v>336</v>
      </c>
    </row>
    <row r="3" spans="1:7" x14ac:dyDescent="0.25">
      <c r="A3" s="63" t="s">
        <v>223</v>
      </c>
      <c r="B3" s="64">
        <v>493</v>
      </c>
      <c r="C3" s="65">
        <v>25305</v>
      </c>
      <c r="D3" s="66">
        <v>7.8</v>
      </c>
      <c r="E3" s="66">
        <v>17.3</v>
      </c>
      <c r="F3" s="67">
        <v>5</v>
      </c>
      <c r="G3" s="62" t="s">
        <v>337</v>
      </c>
    </row>
    <row r="4" spans="1:7" x14ac:dyDescent="0.25">
      <c r="A4" s="63" t="s">
        <v>225</v>
      </c>
      <c r="B4" s="64">
        <v>927</v>
      </c>
      <c r="C4" s="65">
        <v>22364</v>
      </c>
      <c r="D4" s="66">
        <v>5.5</v>
      </c>
      <c r="E4" s="66">
        <v>19.600000000000001</v>
      </c>
      <c r="F4" s="67">
        <v>6.6</v>
      </c>
      <c r="G4" s="62" t="s">
        <v>338</v>
      </c>
    </row>
    <row r="5" spans="1:7" x14ac:dyDescent="0.25">
      <c r="A5" s="63" t="s">
        <v>227</v>
      </c>
      <c r="B5" s="64">
        <v>313</v>
      </c>
      <c r="C5" s="65">
        <v>19585</v>
      </c>
      <c r="D5" s="66">
        <v>5.4</v>
      </c>
      <c r="E5" s="66">
        <v>17.100000000000001</v>
      </c>
      <c r="F5" s="67">
        <v>6.5</v>
      </c>
      <c r="G5" s="62" t="s">
        <v>339</v>
      </c>
    </row>
    <row r="6" spans="1:7" x14ac:dyDescent="0.25">
      <c r="A6" s="63" t="s">
        <v>229</v>
      </c>
      <c r="B6" s="64">
        <v>761</v>
      </c>
      <c r="C6" s="65">
        <v>26570</v>
      </c>
      <c r="D6" s="66">
        <v>7.2</v>
      </c>
      <c r="E6" s="66">
        <v>24</v>
      </c>
      <c r="F6" s="67">
        <v>4.3</v>
      </c>
    </row>
    <row r="7" spans="1:7" x14ac:dyDescent="0.25">
      <c r="A7" s="63" t="s">
        <v>231</v>
      </c>
      <c r="B7" s="64">
        <v>398</v>
      </c>
      <c r="C7" s="65">
        <v>27051</v>
      </c>
      <c r="D7" s="66">
        <v>4.2</v>
      </c>
      <c r="E7" s="66">
        <v>18.5</v>
      </c>
      <c r="F7" s="67">
        <v>5.0999999999999996</v>
      </c>
    </row>
    <row r="8" spans="1:7" x14ac:dyDescent="0.25">
      <c r="A8" s="63" t="s">
        <v>233</v>
      </c>
      <c r="B8" s="64">
        <v>489</v>
      </c>
      <c r="C8" s="65">
        <v>36263</v>
      </c>
      <c r="D8" s="66">
        <v>5.7</v>
      </c>
      <c r="E8" s="66">
        <v>14.4</v>
      </c>
      <c r="F8" s="67">
        <v>2.9</v>
      </c>
    </row>
    <row r="9" spans="1:7" x14ac:dyDescent="0.25">
      <c r="A9" s="63" t="s">
        <v>235</v>
      </c>
      <c r="B9" s="64">
        <v>434</v>
      </c>
      <c r="C9" s="65">
        <v>29022</v>
      </c>
      <c r="D9" s="66">
        <v>5.2</v>
      </c>
      <c r="E9" s="66">
        <v>16.8</v>
      </c>
      <c r="F9" s="67">
        <v>5.0999999999999996</v>
      </c>
    </row>
    <row r="10" spans="1:7" x14ac:dyDescent="0.25">
      <c r="A10" s="63" t="s">
        <v>237</v>
      </c>
      <c r="B10" s="64">
        <v>721</v>
      </c>
      <c r="C10" s="65">
        <v>25255</v>
      </c>
      <c r="D10" s="66">
        <v>5.0999999999999996</v>
      </c>
      <c r="E10" s="66">
        <v>18.899999999999999</v>
      </c>
      <c r="F10" s="67">
        <v>5.6</v>
      </c>
    </row>
    <row r="11" spans="1:7" x14ac:dyDescent="0.25">
      <c r="A11" s="63" t="s">
        <v>85</v>
      </c>
      <c r="B11" s="64">
        <v>629</v>
      </c>
      <c r="C11" s="65">
        <v>24061</v>
      </c>
      <c r="D11" s="66">
        <v>4.5999999999999996</v>
      </c>
      <c r="E11" s="66">
        <v>16.5</v>
      </c>
      <c r="F11" s="67">
        <v>5.2</v>
      </c>
    </row>
    <row r="12" spans="1:7" x14ac:dyDescent="0.25">
      <c r="A12" s="63" t="s">
        <v>240</v>
      </c>
      <c r="B12" s="64">
        <v>605</v>
      </c>
      <c r="C12" s="65">
        <v>26034</v>
      </c>
      <c r="D12" s="66">
        <v>6.4</v>
      </c>
      <c r="E12" s="66">
        <v>17.8</v>
      </c>
      <c r="F12" s="67">
        <v>4.5999999999999996</v>
      </c>
    </row>
    <row r="13" spans="1:7" x14ac:dyDescent="0.25">
      <c r="A13" s="63" t="s">
        <v>242</v>
      </c>
      <c r="B13" s="64">
        <v>188</v>
      </c>
      <c r="C13" s="65">
        <v>20478</v>
      </c>
      <c r="D13" s="66">
        <v>5.2</v>
      </c>
      <c r="E13" s="66">
        <v>19</v>
      </c>
      <c r="F13" s="67">
        <v>5.8</v>
      </c>
    </row>
    <row r="14" spans="1:7" x14ac:dyDescent="0.25">
      <c r="A14" s="63" t="s">
        <v>244</v>
      </c>
      <c r="B14" s="64">
        <v>490</v>
      </c>
      <c r="C14" s="65">
        <v>28202</v>
      </c>
      <c r="D14" s="66">
        <v>5.3</v>
      </c>
      <c r="E14" s="66">
        <v>17.100000000000001</v>
      </c>
      <c r="F14" s="67">
        <v>3.3</v>
      </c>
    </row>
    <row r="15" spans="1:7" x14ac:dyDescent="0.25">
      <c r="A15" s="63" t="s">
        <v>246</v>
      </c>
      <c r="B15" s="64">
        <v>425</v>
      </c>
      <c r="C15" s="65">
        <v>23604</v>
      </c>
      <c r="D15" s="66">
        <v>4.0999999999999996</v>
      </c>
      <c r="E15" s="66">
        <v>17.5</v>
      </c>
      <c r="F15" s="67">
        <v>6.4</v>
      </c>
    </row>
    <row r="16" spans="1:7" x14ac:dyDescent="0.25">
      <c r="A16" s="63" t="s">
        <v>248</v>
      </c>
      <c r="B16" s="64">
        <v>191</v>
      </c>
      <c r="C16" s="65">
        <v>23102</v>
      </c>
      <c r="D16" s="66">
        <v>3.8</v>
      </c>
      <c r="E16" s="66">
        <v>15.5</v>
      </c>
      <c r="F16" s="67">
        <v>3.7</v>
      </c>
    </row>
    <row r="17" spans="1:6" x14ac:dyDescent="0.25">
      <c r="A17" s="63" t="s">
        <v>250</v>
      </c>
      <c r="B17" s="64">
        <v>248</v>
      </c>
      <c r="C17" s="65">
        <v>24379</v>
      </c>
      <c r="D17" s="66">
        <v>4.5</v>
      </c>
      <c r="E17" s="66">
        <v>15.1</v>
      </c>
      <c r="F17" s="67">
        <v>4.2</v>
      </c>
    </row>
    <row r="18" spans="1:6" x14ac:dyDescent="0.25">
      <c r="A18" s="63" t="s">
        <v>252</v>
      </c>
      <c r="B18" s="64">
        <v>261</v>
      </c>
      <c r="C18" s="65">
        <v>20657</v>
      </c>
      <c r="D18" s="66">
        <v>5.6</v>
      </c>
      <c r="E18" s="66">
        <v>16.899999999999999</v>
      </c>
      <c r="F18" s="67">
        <v>5.9</v>
      </c>
    </row>
    <row r="19" spans="1:6" x14ac:dyDescent="0.25">
      <c r="A19" s="63" t="s">
        <v>254</v>
      </c>
      <c r="B19" s="64">
        <v>632</v>
      </c>
      <c r="C19" s="65">
        <v>20680</v>
      </c>
      <c r="D19" s="66">
        <v>6.7</v>
      </c>
      <c r="E19" s="66">
        <v>17</v>
      </c>
      <c r="F19" s="67">
        <v>4.3</v>
      </c>
    </row>
    <row r="20" spans="1:6" x14ac:dyDescent="0.25">
      <c r="A20" s="63" t="s">
        <v>256</v>
      </c>
      <c r="B20" s="64">
        <v>143</v>
      </c>
      <c r="C20" s="65">
        <v>22078</v>
      </c>
      <c r="D20" s="66">
        <v>5.0999999999999996</v>
      </c>
      <c r="E20" s="66">
        <v>13.9</v>
      </c>
      <c r="F20" s="67">
        <v>4.4000000000000004</v>
      </c>
    </row>
    <row r="21" spans="1:6" x14ac:dyDescent="0.25">
      <c r="A21" s="63" t="s">
        <v>258</v>
      </c>
      <c r="B21" s="64">
        <v>711</v>
      </c>
      <c r="C21" s="65">
        <v>28969</v>
      </c>
      <c r="D21" s="66">
        <v>4.9000000000000004</v>
      </c>
      <c r="E21" s="66">
        <v>16.8</v>
      </c>
      <c r="F21" s="67">
        <v>3</v>
      </c>
    </row>
    <row r="22" spans="1:6" x14ac:dyDescent="0.25">
      <c r="A22" s="63" t="s">
        <v>260</v>
      </c>
      <c r="B22" s="64">
        <v>528</v>
      </c>
      <c r="C22" s="65">
        <v>31524</v>
      </c>
      <c r="D22" s="66">
        <v>4.3</v>
      </c>
      <c r="E22" s="66">
        <v>14.6</v>
      </c>
      <c r="F22" s="67">
        <v>2.2000000000000002</v>
      </c>
    </row>
    <row r="23" spans="1:6" x14ac:dyDescent="0.25">
      <c r="A23" s="63" t="s">
        <v>262</v>
      </c>
      <c r="B23" s="64">
        <v>701</v>
      </c>
      <c r="C23" s="65">
        <v>25560</v>
      </c>
      <c r="D23" s="66">
        <v>4.9000000000000004</v>
      </c>
      <c r="E23" s="66">
        <v>19.7</v>
      </c>
      <c r="F23" s="67">
        <v>4.2</v>
      </c>
    </row>
    <row r="24" spans="1:6" x14ac:dyDescent="0.25">
      <c r="A24" s="63" t="s">
        <v>264</v>
      </c>
      <c r="B24" s="64">
        <v>385</v>
      </c>
      <c r="C24" s="65">
        <v>26797</v>
      </c>
      <c r="D24" s="66">
        <v>4</v>
      </c>
      <c r="E24" s="66">
        <v>17.8</v>
      </c>
      <c r="F24" s="67">
        <v>3.4</v>
      </c>
    </row>
    <row r="25" spans="1:6" x14ac:dyDescent="0.25">
      <c r="A25" s="63" t="s">
        <v>266</v>
      </c>
      <c r="B25" s="64">
        <v>351</v>
      </c>
      <c r="C25" s="65">
        <v>18272</v>
      </c>
      <c r="D25" s="66">
        <v>6.1</v>
      </c>
      <c r="E25" s="66">
        <v>17.5</v>
      </c>
      <c r="F25" s="67">
        <v>4.8</v>
      </c>
    </row>
    <row r="26" spans="1:6" x14ac:dyDescent="0.25">
      <c r="A26" s="63" t="s">
        <v>268</v>
      </c>
      <c r="B26" s="64">
        <v>448</v>
      </c>
      <c r="C26" s="65">
        <v>24001</v>
      </c>
      <c r="D26" s="66">
        <v>4.5999999999999996</v>
      </c>
      <c r="E26" s="66">
        <v>15.4</v>
      </c>
      <c r="F26" s="67">
        <v>5</v>
      </c>
    </row>
    <row r="27" spans="1:6" x14ac:dyDescent="0.25">
      <c r="A27" s="63" t="s">
        <v>270</v>
      </c>
      <c r="B27" s="64">
        <v>256</v>
      </c>
      <c r="C27" s="65">
        <v>20046</v>
      </c>
      <c r="D27" s="66">
        <v>5.3</v>
      </c>
      <c r="E27" s="66">
        <v>16.399999999999999</v>
      </c>
      <c r="F27" s="67">
        <v>4.8</v>
      </c>
    </row>
    <row r="28" spans="1:6" x14ac:dyDescent="0.25">
      <c r="A28" s="63" t="s">
        <v>272</v>
      </c>
      <c r="B28" s="64">
        <v>342</v>
      </c>
      <c r="C28" s="65">
        <v>23803</v>
      </c>
      <c r="D28" s="66">
        <v>2.9</v>
      </c>
      <c r="E28" s="66">
        <v>14.5</v>
      </c>
      <c r="F28" s="67">
        <v>3.8</v>
      </c>
    </row>
    <row r="29" spans="1:6" x14ac:dyDescent="0.25">
      <c r="A29" s="63" t="s">
        <v>274</v>
      </c>
      <c r="B29" s="64">
        <v>698</v>
      </c>
      <c r="C29" s="65">
        <v>26791</v>
      </c>
      <c r="D29" s="66">
        <v>5.4</v>
      </c>
      <c r="E29" s="66">
        <v>19.100000000000001</v>
      </c>
      <c r="F29" s="67">
        <v>8.1</v>
      </c>
    </row>
    <row r="30" spans="1:6" x14ac:dyDescent="0.25">
      <c r="A30" s="63" t="s">
        <v>329</v>
      </c>
      <c r="B30" s="64">
        <v>152</v>
      </c>
      <c r="C30" s="65">
        <v>28047</v>
      </c>
      <c r="D30" s="66">
        <v>4.2</v>
      </c>
      <c r="E30" s="66">
        <v>15.7</v>
      </c>
      <c r="F30" s="67">
        <v>4.2</v>
      </c>
    </row>
    <row r="31" spans="1:6" x14ac:dyDescent="0.25">
      <c r="A31" s="63" t="s">
        <v>278</v>
      </c>
      <c r="B31" s="64">
        <v>581</v>
      </c>
      <c r="C31" s="65">
        <v>32654</v>
      </c>
      <c r="D31" s="66">
        <v>6.2</v>
      </c>
      <c r="E31" s="66">
        <v>13.8</v>
      </c>
      <c r="F31" s="67">
        <v>3.1</v>
      </c>
    </row>
    <row r="32" spans="1:6" x14ac:dyDescent="0.25">
      <c r="A32" s="63" t="s">
        <v>280</v>
      </c>
      <c r="B32" s="64">
        <v>582</v>
      </c>
      <c r="C32" s="65">
        <v>19587</v>
      </c>
      <c r="D32" s="66">
        <v>8.1</v>
      </c>
      <c r="E32" s="66">
        <v>17</v>
      </c>
      <c r="F32" s="67">
        <v>6.7</v>
      </c>
    </row>
    <row r="33" spans="1:6" x14ac:dyDescent="0.25">
      <c r="A33" s="63" t="s">
        <v>282</v>
      </c>
      <c r="B33" s="64">
        <v>494</v>
      </c>
      <c r="C33" s="65">
        <v>30752</v>
      </c>
      <c r="D33" s="66">
        <v>6.2</v>
      </c>
      <c r="E33" s="66">
        <v>15.5</v>
      </c>
      <c r="F33" s="67">
        <v>3.1</v>
      </c>
    </row>
    <row r="34" spans="1:6" x14ac:dyDescent="0.25">
      <c r="A34" s="63" t="s">
        <v>330</v>
      </c>
      <c r="B34" s="64">
        <v>336</v>
      </c>
      <c r="C34" s="65">
        <v>23345</v>
      </c>
      <c r="D34" s="66">
        <v>4.3</v>
      </c>
      <c r="E34" s="66">
        <v>16.2</v>
      </c>
      <c r="F34" s="67">
        <v>5.0999999999999996</v>
      </c>
    </row>
    <row r="35" spans="1:6" x14ac:dyDescent="0.25">
      <c r="A35" s="63" t="s">
        <v>331</v>
      </c>
      <c r="B35" s="64">
        <v>190</v>
      </c>
      <c r="C35" s="65">
        <v>20271</v>
      </c>
      <c r="D35" s="66">
        <v>3.1</v>
      </c>
      <c r="E35" s="66">
        <v>15.9</v>
      </c>
      <c r="F35" s="67">
        <v>3.4</v>
      </c>
    </row>
    <row r="36" spans="1:6" x14ac:dyDescent="0.25">
      <c r="A36" s="63" t="s">
        <v>288</v>
      </c>
      <c r="B36" s="64">
        <v>408</v>
      </c>
      <c r="C36" s="65">
        <v>24661</v>
      </c>
      <c r="D36" s="66">
        <v>4.9000000000000004</v>
      </c>
      <c r="E36" s="66">
        <v>17.100000000000001</v>
      </c>
      <c r="F36" s="67">
        <v>4.4000000000000004</v>
      </c>
    </row>
    <row r="37" spans="1:6" x14ac:dyDescent="0.25">
      <c r="A37" s="63" t="s">
        <v>290</v>
      </c>
      <c r="B37" s="64">
        <v>483</v>
      </c>
      <c r="C37" s="65">
        <v>20556</v>
      </c>
      <c r="D37" s="66">
        <v>4.0999999999999996</v>
      </c>
      <c r="E37" s="66">
        <v>15.7</v>
      </c>
      <c r="F37" s="67">
        <v>6.7</v>
      </c>
    </row>
    <row r="38" spans="1:6" x14ac:dyDescent="0.25">
      <c r="A38" s="63" t="s">
        <v>292</v>
      </c>
      <c r="B38" s="64">
        <v>531</v>
      </c>
      <c r="C38" s="65">
        <v>24393</v>
      </c>
      <c r="D38" s="66">
        <v>5.9</v>
      </c>
      <c r="E38" s="66">
        <v>19.8</v>
      </c>
      <c r="F38" s="67">
        <v>4.8</v>
      </c>
    </row>
    <row r="39" spans="1:6" x14ac:dyDescent="0.25">
      <c r="A39" s="63" t="s">
        <v>294</v>
      </c>
      <c r="B39" s="64">
        <v>412</v>
      </c>
      <c r="C39" s="65">
        <v>26058</v>
      </c>
      <c r="D39" s="66">
        <v>5.3</v>
      </c>
      <c r="E39" s="66">
        <v>17</v>
      </c>
      <c r="F39" s="67">
        <v>3.3</v>
      </c>
    </row>
    <row r="40" spans="1:6" x14ac:dyDescent="0.25">
      <c r="A40" s="63" t="s">
        <v>296</v>
      </c>
      <c r="B40" s="64">
        <v>464</v>
      </c>
      <c r="C40" s="65">
        <v>25760</v>
      </c>
      <c r="D40" s="66">
        <v>5.0999999999999996</v>
      </c>
      <c r="E40" s="66">
        <v>14.3</v>
      </c>
      <c r="F40" s="67">
        <v>3.7</v>
      </c>
    </row>
    <row r="41" spans="1:6" x14ac:dyDescent="0.25">
      <c r="A41" s="63" t="s">
        <v>332</v>
      </c>
      <c r="B41" s="64">
        <v>429</v>
      </c>
      <c r="C41" s="65">
        <v>20755</v>
      </c>
      <c r="D41" s="66">
        <v>6</v>
      </c>
      <c r="E41" s="66">
        <v>16.2</v>
      </c>
      <c r="F41" s="67">
        <v>4</v>
      </c>
    </row>
    <row r="42" spans="1:6" x14ac:dyDescent="0.25">
      <c r="A42" s="63" t="s">
        <v>333</v>
      </c>
      <c r="B42" s="64">
        <v>114</v>
      </c>
      <c r="C42" s="65">
        <v>21447</v>
      </c>
      <c r="D42" s="66">
        <v>3.2</v>
      </c>
      <c r="E42" s="66">
        <v>15</v>
      </c>
      <c r="F42" s="67">
        <v>4</v>
      </c>
    </row>
    <row r="43" spans="1:6" x14ac:dyDescent="0.25">
      <c r="A43" s="63" t="s">
        <v>302</v>
      </c>
      <c r="B43" s="64">
        <v>647</v>
      </c>
      <c r="C43" s="65">
        <v>23018</v>
      </c>
      <c r="D43" s="66">
        <v>5.2</v>
      </c>
      <c r="E43" s="66">
        <v>16.7</v>
      </c>
      <c r="F43" s="67">
        <v>6.3</v>
      </c>
    </row>
    <row r="44" spans="1:6" x14ac:dyDescent="0.25">
      <c r="A44" s="63" t="s">
        <v>304</v>
      </c>
      <c r="B44" s="64">
        <v>549</v>
      </c>
      <c r="C44" s="65">
        <v>23656</v>
      </c>
      <c r="D44" s="66">
        <v>5.6</v>
      </c>
      <c r="E44" s="66">
        <v>15.6</v>
      </c>
      <c r="F44" s="67">
        <v>5.3</v>
      </c>
    </row>
    <row r="45" spans="1:6" x14ac:dyDescent="0.25">
      <c r="A45" s="63" t="s">
        <v>306</v>
      </c>
      <c r="B45" s="64">
        <v>429</v>
      </c>
      <c r="C45" s="65">
        <v>20432</v>
      </c>
      <c r="D45" s="66">
        <v>3.5</v>
      </c>
      <c r="E45" s="66">
        <v>23.8</v>
      </c>
      <c r="F45" s="67">
        <v>4.5999999999999996</v>
      </c>
    </row>
    <row r="46" spans="1:6" x14ac:dyDescent="0.25">
      <c r="A46" s="63" t="s">
        <v>308</v>
      </c>
      <c r="B46" s="64">
        <v>150</v>
      </c>
      <c r="C46" s="65">
        <v>23401</v>
      </c>
      <c r="D46" s="66">
        <v>4.5999999999999996</v>
      </c>
      <c r="E46" s="66">
        <v>13.8</v>
      </c>
      <c r="F46" s="67">
        <v>4.8</v>
      </c>
    </row>
    <row r="47" spans="1:6" x14ac:dyDescent="0.25">
      <c r="A47" s="63" t="s">
        <v>310</v>
      </c>
      <c r="B47" s="64">
        <v>279</v>
      </c>
      <c r="C47" s="65">
        <v>26438</v>
      </c>
      <c r="D47" s="66">
        <v>4.4000000000000004</v>
      </c>
      <c r="E47" s="66">
        <v>14.4</v>
      </c>
      <c r="F47" s="67">
        <v>4.4000000000000004</v>
      </c>
    </row>
    <row r="48" spans="1:6" x14ac:dyDescent="0.25">
      <c r="A48" s="63" t="s">
        <v>312</v>
      </c>
      <c r="B48" s="64">
        <v>522</v>
      </c>
      <c r="C48" s="65">
        <v>26718</v>
      </c>
      <c r="D48" s="66">
        <v>6.5</v>
      </c>
      <c r="E48" s="66">
        <v>20.399999999999999</v>
      </c>
      <c r="F48" s="67">
        <v>5.5</v>
      </c>
    </row>
    <row r="49" spans="1:6" x14ac:dyDescent="0.25">
      <c r="A49" s="63" t="s">
        <v>334</v>
      </c>
      <c r="B49" s="64">
        <v>177</v>
      </c>
      <c r="C49" s="65">
        <v>18957</v>
      </c>
      <c r="D49" s="66">
        <v>7.5</v>
      </c>
      <c r="E49" s="66">
        <v>14.6</v>
      </c>
      <c r="F49" s="67">
        <v>5.0999999999999996</v>
      </c>
    </row>
    <row r="50" spans="1:6" x14ac:dyDescent="0.25">
      <c r="A50" s="63" t="s">
        <v>316</v>
      </c>
      <c r="B50" s="64">
        <v>346</v>
      </c>
      <c r="C50" s="65">
        <v>24475</v>
      </c>
      <c r="D50" s="66">
        <v>3.5</v>
      </c>
      <c r="E50" s="66">
        <v>15.8</v>
      </c>
      <c r="F50" s="67">
        <v>3.4</v>
      </c>
    </row>
    <row r="51" spans="1:6" x14ac:dyDescent="0.25">
      <c r="A51" s="68" t="s">
        <v>318</v>
      </c>
      <c r="B51" s="69">
        <v>139</v>
      </c>
      <c r="C51" s="70">
        <v>22648</v>
      </c>
      <c r="D51" s="71">
        <v>5</v>
      </c>
      <c r="E51" s="71">
        <v>14.8</v>
      </c>
      <c r="F51" s="72">
        <v>6.7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BDAB-839B-4E42-BF85-C96DBAF0F4D7}">
  <dimension ref="A1:H44"/>
  <sheetViews>
    <sheetView workbookViewId="0">
      <selection activeCell="H3" sqref="H2:H5"/>
    </sheetView>
  </sheetViews>
  <sheetFormatPr defaultRowHeight="15" x14ac:dyDescent="0.25"/>
  <sheetData>
    <row r="1" spans="1:8" x14ac:dyDescent="0.25">
      <c r="A1" s="1" t="s">
        <v>0</v>
      </c>
      <c r="B1" s="2" t="s">
        <v>340</v>
      </c>
      <c r="C1" s="19" t="s">
        <v>341</v>
      </c>
      <c r="D1" s="2" t="s">
        <v>342</v>
      </c>
      <c r="E1" s="2" t="s">
        <v>343</v>
      </c>
      <c r="F1" s="2" t="s">
        <v>344</v>
      </c>
      <c r="G1" s="3" t="s">
        <v>197</v>
      </c>
      <c r="H1" s="18" t="s">
        <v>189</v>
      </c>
    </row>
    <row r="2" spans="1:8" x14ac:dyDescent="0.25">
      <c r="A2" s="74">
        <v>1</v>
      </c>
      <c r="B2" s="75">
        <v>40</v>
      </c>
      <c r="C2" s="76" t="s">
        <v>345</v>
      </c>
      <c r="D2" s="75">
        <v>20</v>
      </c>
      <c r="E2" s="75">
        <v>192</v>
      </c>
      <c r="F2" s="75">
        <v>69</v>
      </c>
      <c r="G2" s="77">
        <v>3450</v>
      </c>
      <c r="H2" s="62" t="s">
        <v>388</v>
      </c>
    </row>
    <row r="3" spans="1:8" x14ac:dyDescent="0.25">
      <c r="A3" s="78">
        <v>2</v>
      </c>
      <c r="B3" s="79">
        <v>45</v>
      </c>
      <c r="C3" s="80" t="s">
        <v>346</v>
      </c>
      <c r="D3" s="79">
        <v>23</v>
      </c>
      <c r="E3" s="79">
        <v>183</v>
      </c>
      <c r="F3" s="79">
        <v>59</v>
      </c>
      <c r="G3" s="81">
        <v>3320</v>
      </c>
      <c r="H3" s="62" t="s">
        <v>389</v>
      </c>
    </row>
    <row r="4" spans="1:8" x14ac:dyDescent="0.25">
      <c r="A4" s="78">
        <v>3</v>
      </c>
      <c r="B4" s="79">
        <v>50</v>
      </c>
      <c r="C4" s="80" t="s">
        <v>347</v>
      </c>
      <c r="D4" s="79">
        <v>19</v>
      </c>
      <c r="E4" s="79">
        <v>176</v>
      </c>
      <c r="F4" s="79">
        <v>69</v>
      </c>
      <c r="G4" s="81">
        <v>3390</v>
      </c>
      <c r="H4" s="62" t="s">
        <v>390</v>
      </c>
    </row>
    <row r="5" spans="1:8" x14ac:dyDescent="0.25">
      <c r="A5" s="78">
        <v>4</v>
      </c>
      <c r="B5" s="79">
        <v>55</v>
      </c>
      <c r="C5" s="80" t="s">
        <v>348</v>
      </c>
      <c r="D5" s="79">
        <v>20</v>
      </c>
      <c r="E5" s="79">
        <v>195</v>
      </c>
      <c r="F5" s="79">
        <v>73</v>
      </c>
      <c r="G5" s="81">
        <v>3350</v>
      </c>
      <c r="H5" s="62" t="s">
        <v>391</v>
      </c>
    </row>
    <row r="6" spans="1:8" x14ac:dyDescent="0.25">
      <c r="A6" s="78">
        <v>5</v>
      </c>
      <c r="B6" s="79">
        <v>60</v>
      </c>
      <c r="C6" s="80" t="s">
        <v>349</v>
      </c>
      <c r="D6" s="79">
        <v>18</v>
      </c>
      <c r="E6" s="79">
        <v>187</v>
      </c>
      <c r="F6" s="79">
        <v>74</v>
      </c>
      <c r="G6" s="81">
        <v>4230</v>
      </c>
    </row>
    <row r="7" spans="1:8" x14ac:dyDescent="0.25">
      <c r="A7" s="78">
        <v>6</v>
      </c>
      <c r="B7" s="79">
        <v>65</v>
      </c>
      <c r="C7" s="80" t="s">
        <v>350</v>
      </c>
      <c r="D7" s="79">
        <v>18</v>
      </c>
      <c r="E7" s="79">
        <v>201</v>
      </c>
      <c r="F7" s="79">
        <v>75</v>
      </c>
      <c r="G7" s="81">
        <v>4050</v>
      </c>
    </row>
    <row r="8" spans="1:8" x14ac:dyDescent="0.25">
      <c r="A8" s="78">
        <v>7</v>
      </c>
      <c r="B8" s="79">
        <v>70</v>
      </c>
      <c r="C8" s="80" t="s">
        <v>351</v>
      </c>
      <c r="D8" s="79">
        <v>19</v>
      </c>
      <c r="E8" s="79">
        <v>180</v>
      </c>
      <c r="F8" s="79">
        <v>74</v>
      </c>
      <c r="G8" s="81">
        <v>3255</v>
      </c>
    </row>
    <row r="9" spans="1:8" x14ac:dyDescent="0.25">
      <c r="A9" s="78">
        <v>8</v>
      </c>
      <c r="B9" s="79">
        <v>75</v>
      </c>
      <c r="C9" s="80" t="s">
        <v>352</v>
      </c>
      <c r="D9" s="79">
        <v>14</v>
      </c>
      <c r="E9" s="79">
        <v>228</v>
      </c>
      <c r="F9" s="79">
        <v>79</v>
      </c>
      <c r="G9" s="81">
        <v>4935</v>
      </c>
    </row>
    <row r="10" spans="1:8" x14ac:dyDescent="0.25">
      <c r="A10" s="78">
        <v>9</v>
      </c>
      <c r="B10" s="79">
        <v>80</v>
      </c>
      <c r="C10" s="80" t="s">
        <v>353</v>
      </c>
      <c r="D10" s="79">
        <v>15</v>
      </c>
      <c r="E10" s="79">
        <v>192</v>
      </c>
      <c r="F10" s="79">
        <v>75</v>
      </c>
      <c r="G10" s="81">
        <v>4660</v>
      </c>
    </row>
    <row r="11" spans="1:8" x14ac:dyDescent="0.25">
      <c r="A11" s="78">
        <v>10</v>
      </c>
      <c r="B11" s="79">
        <v>85</v>
      </c>
      <c r="C11" s="80" t="s">
        <v>354</v>
      </c>
      <c r="D11" s="79">
        <v>17</v>
      </c>
      <c r="E11" s="79">
        <v>199</v>
      </c>
      <c r="F11" s="79">
        <v>79</v>
      </c>
      <c r="G11" s="81">
        <v>4660</v>
      </c>
    </row>
    <row r="12" spans="1:8" x14ac:dyDescent="0.25">
      <c r="A12" s="78">
        <v>11</v>
      </c>
      <c r="B12" s="79">
        <v>90</v>
      </c>
      <c r="C12" s="80" t="s">
        <v>355</v>
      </c>
      <c r="D12" s="79">
        <v>18</v>
      </c>
      <c r="E12" s="79">
        <v>201</v>
      </c>
      <c r="F12" s="79">
        <v>79</v>
      </c>
      <c r="G12" s="81">
        <v>4210</v>
      </c>
    </row>
    <row r="13" spans="1:8" x14ac:dyDescent="0.25">
      <c r="A13" s="78">
        <v>12</v>
      </c>
      <c r="B13" s="79">
        <v>95</v>
      </c>
      <c r="C13" s="80" t="s">
        <v>356</v>
      </c>
      <c r="D13" s="79">
        <v>13</v>
      </c>
      <c r="E13" s="79">
        <v>228</v>
      </c>
      <c r="F13" s="79">
        <v>80</v>
      </c>
      <c r="G13" s="81">
        <v>5300</v>
      </c>
    </row>
    <row r="14" spans="1:8" x14ac:dyDescent="0.25">
      <c r="A14" s="78">
        <v>13</v>
      </c>
      <c r="B14" s="79">
        <v>100</v>
      </c>
      <c r="C14" s="80" t="s">
        <v>357</v>
      </c>
      <c r="D14" s="79">
        <v>13</v>
      </c>
      <c r="E14" s="79">
        <v>206</v>
      </c>
      <c r="F14" s="79">
        <v>79</v>
      </c>
      <c r="G14" s="81">
        <v>5900</v>
      </c>
    </row>
    <row r="15" spans="1:8" x14ac:dyDescent="0.25">
      <c r="A15" s="78">
        <v>14</v>
      </c>
      <c r="B15" s="79">
        <v>105</v>
      </c>
      <c r="C15" s="80" t="s">
        <v>358</v>
      </c>
      <c r="D15" s="79">
        <v>26</v>
      </c>
      <c r="E15" s="79">
        <v>168</v>
      </c>
      <c r="F15" s="79">
        <v>67</v>
      </c>
      <c r="G15" s="81">
        <v>2760</v>
      </c>
    </row>
    <row r="16" spans="1:8" x14ac:dyDescent="0.25">
      <c r="A16" s="78">
        <v>15</v>
      </c>
      <c r="B16" s="79">
        <v>110</v>
      </c>
      <c r="C16" s="80" t="s">
        <v>359</v>
      </c>
      <c r="D16" s="79">
        <v>15</v>
      </c>
      <c r="E16" s="79">
        <v>192</v>
      </c>
      <c r="F16" s="79">
        <v>75</v>
      </c>
      <c r="G16" s="81">
        <v>4660</v>
      </c>
    </row>
    <row r="17" spans="1:7" x14ac:dyDescent="0.25">
      <c r="A17" s="78">
        <v>16</v>
      </c>
      <c r="B17" s="79">
        <v>115</v>
      </c>
      <c r="C17" s="80" t="s">
        <v>360</v>
      </c>
      <c r="D17" s="79">
        <v>21</v>
      </c>
      <c r="E17" s="79">
        <v>190</v>
      </c>
      <c r="F17" s="79">
        <v>72</v>
      </c>
      <c r="G17" s="81">
        <v>3390</v>
      </c>
    </row>
    <row r="18" spans="1:7" x14ac:dyDescent="0.25">
      <c r="A18" s="78">
        <v>17</v>
      </c>
      <c r="B18" s="79">
        <v>120</v>
      </c>
      <c r="C18" s="80" t="s">
        <v>361</v>
      </c>
      <c r="D18" s="79">
        <v>18</v>
      </c>
      <c r="E18" s="79">
        <v>201</v>
      </c>
      <c r="F18" s="79">
        <v>76</v>
      </c>
      <c r="G18" s="81">
        <v>4315</v>
      </c>
    </row>
    <row r="19" spans="1:7" x14ac:dyDescent="0.25">
      <c r="A19" s="78">
        <v>18</v>
      </c>
      <c r="B19" s="79">
        <v>125</v>
      </c>
      <c r="C19" s="80" t="s">
        <v>362</v>
      </c>
      <c r="D19" s="79">
        <v>24</v>
      </c>
      <c r="E19" s="79">
        <v>177</v>
      </c>
      <c r="F19" s="79">
        <v>68</v>
      </c>
      <c r="G19" s="81">
        <v>2880</v>
      </c>
    </row>
    <row r="20" spans="1:7" x14ac:dyDescent="0.25">
      <c r="A20" s="78">
        <v>19</v>
      </c>
      <c r="B20" s="79">
        <v>130</v>
      </c>
      <c r="C20" s="80" t="s">
        <v>363</v>
      </c>
      <c r="D20" s="79">
        <v>16</v>
      </c>
      <c r="E20" s="79">
        <v>189</v>
      </c>
      <c r="F20" s="79">
        <v>77</v>
      </c>
      <c r="G20" s="81">
        <v>4295</v>
      </c>
    </row>
    <row r="21" spans="1:7" x14ac:dyDescent="0.25">
      <c r="A21" s="78">
        <v>20</v>
      </c>
      <c r="B21" s="79">
        <v>135</v>
      </c>
      <c r="C21" s="80" t="s">
        <v>364</v>
      </c>
      <c r="D21" s="79">
        <v>15</v>
      </c>
      <c r="E21" s="79">
        <v>208</v>
      </c>
      <c r="F21" s="79">
        <v>76</v>
      </c>
      <c r="G21" s="81">
        <v>4965</v>
      </c>
    </row>
    <row r="22" spans="1:7" x14ac:dyDescent="0.25">
      <c r="A22" s="78">
        <v>21</v>
      </c>
      <c r="B22" s="79">
        <v>140</v>
      </c>
      <c r="C22" s="80" t="s">
        <v>365</v>
      </c>
      <c r="D22" s="79">
        <v>18</v>
      </c>
      <c r="E22" s="79">
        <v>200</v>
      </c>
      <c r="F22" s="79">
        <v>83</v>
      </c>
      <c r="G22" s="81">
        <v>3805</v>
      </c>
    </row>
    <row r="23" spans="1:7" x14ac:dyDescent="0.25">
      <c r="A23" s="78">
        <v>22</v>
      </c>
      <c r="B23" s="79">
        <v>145</v>
      </c>
      <c r="C23" s="80" t="s">
        <v>366</v>
      </c>
      <c r="D23" s="79">
        <v>25</v>
      </c>
      <c r="E23" s="79">
        <v>166</v>
      </c>
      <c r="F23" s="79">
        <v>66</v>
      </c>
      <c r="G23" s="81">
        <v>2295</v>
      </c>
    </row>
    <row r="24" spans="1:7" x14ac:dyDescent="0.25">
      <c r="A24" s="78">
        <v>23</v>
      </c>
      <c r="B24" s="79">
        <v>150</v>
      </c>
      <c r="C24" s="80" t="s">
        <v>367</v>
      </c>
      <c r="D24" s="79">
        <v>17</v>
      </c>
      <c r="E24" s="79">
        <v>175</v>
      </c>
      <c r="F24" s="79">
        <v>71</v>
      </c>
      <c r="G24" s="81">
        <v>3640</v>
      </c>
    </row>
    <row r="25" spans="1:7" x14ac:dyDescent="0.25">
      <c r="A25" s="78">
        <v>24</v>
      </c>
      <c r="B25" s="79">
        <v>155</v>
      </c>
      <c r="C25" s="80" t="s">
        <v>368</v>
      </c>
      <c r="D25" s="79">
        <v>18</v>
      </c>
      <c r="E25" s="79">
        <v>177</v>
      </c>
      <c r="F25" s="79">
        <v>68</v>
      </c>
      <c r="G25" s="81">
        <v>3390</v>
      </c>
    </row>
    <row r="26" spans="1:7" x14ac:dyDescent="0.25">
      <c r="A26" s="78">
        <v>25</v>
      </c>
      <c r="B26" s="79">
        <v>160</v>
      </c>
      <c r="C26" s="80" t="s">
        <v>369</v>
      </c>
      <c r="D26" s="79">
        <v>13</v>
      </c>
      <c r="E26" s="79">
        <v>193</v>
      </c>
      <c r="F26" s="79">
        <v>76</v>
      </c>
      <c r="G26" s="81">
        <v>5000</v>
      </c>
    </row>
    <row r="27" spans="1:7" x14ac:dyDescent="0.25">
      <c r="A27" s="78">
        <v>26</v>
      </c>
      <c r="B27" s="79">
        <v>165</v>
      </c>
      <c r="C27" s="80" t="s">
        <v>370</v>
      </c>
      <c r="D27" s="79">
        <v>18</v>
      </c>
      <c r="E27" s="79">
        <v>187</v>
      </c>
      <c r="F27" s="79">
        <v>72</v>
      </c>
      <c r="G27" s="81">
        <v>3925</v>
      </c>
    </row>
    <row r="28" spans="1:7" x14ac:dyDescent="0.25">
      <c r="A28" s="78">
        <v>27</v>
      </c>
      <c r="B28" s="79">
        <v>170</v>
      </c>
      <c r="C28" s="80" t="s">
        <v>371</v>
      </c>
      <c r="D28" s="79">
        <v>19</v>
      </c>
      <c r="E28" s="79">
        <v>187</v>
      </c>
      <c r="F28" s="79">
        <v>70</v>
      </c>
      <c r="G28" s="81">
        <v>3355</v>
      </c>
    </row>
    <row r="29" spans="1:7" x14ac:dyDescent="0.25">
      <c r="A29" s="78">
        <v>28</v>
      </c>
      <c r="B29" s="79">
        <v>175</v>
      </c>
      <c r="C29" s="80" t="s">
        <v>372</v>
      </c>
      <c r="D29" s="79">
        <v>17</v>
      </c>
      <c r="E29" s="79">
        <v>203</v>
      </c>
      <c r="F29" s="79">
        <v>73</v>
      </c>
      <c r="G29" s="81">
        <v>4195</v>
      </c>
    </row>
    <row r="30" spans="1:7" x14ac:dyDescent="0.25">
      <c r="A30" s="78">
        <v>29</v>
      </c>
      <c r="B30" s="79">
        <v>180</v>
      </c>
      <c r="C30" s="80" t="s">
        <v>373</v>
      </c>
      <c r="D30" s="79">
        <v>20</v>
      </c>
      <c r="E30" s="79">
        <v>200</v>
      </c>
      <c r="F30" s="79">
        <v>73</v>
      </c>
      <c r="G30" s="81">
        <v>3340</v>
      </c>
    </row>
    <row r="31" spans="1:7" x14ac:dyDescent="0.25">
      <c r="A31" s="78">
        <v>30</v>
      </c>
      <c r="B31" s="79">
        <v>185</v>
      </c>
      <c r="C31" s="80" t="s">
        <v>374</v>
      </c>
      <c r="D31" s="79">
        <v>20</v>
      </c>
      <c r="E31" s="79">
        <v>188</v>
      </c>
      <c r="F31" s="79">
        <v>69</v>
      </c>
      <c r="G31" s="81">
        <v>3285</v>
      </c>
    </row>
    <row r="32" spans="1:7" x14ac:dyDescent="0.25">
      <c r="A32" s="78">
        <v>31</v>
      </c>
      <c r="B32" s="79">
        <v>190</v>
      </c>
      <c r="C32" s="80" t="s">
        <v>375</v>
      </c>
      <c r="D32" s="79">
        <v>20</v>
      </c>
      <c r="E32" s="79">
        <v>170</v>
      </c>
      <c r="F32" s="79">
        <v>72</v>
      </c>
      <c r="G32" s="81">
        <v>3345</v>
      </c>
    </row>
    <row r="33" spans="1:7" x14ac:dyDescent="0.25">
      <c r="A33" s="78">
        <v>32</v>
      </c>
      <c r="B33" s="79">
        <v>195</v>
      </c>
      <c r="C33" s="80" t="s">
        <v>376</v>
      </c>
      <c r="D33" s="79">
        <v>15</v>
      </c>
      <c r="E33" s="79">
        <v>183</v>
      </c>
      <c r="F33" s="79">
        <v>72</v>
      </c>
      <c r="G33" s="81">
        <v>4270</v>
      </c>
    </row>
    <row r="34" spans="1:7" x14ac:dyDescent="0.25">
      <c r="A34" s="78">
        <v>33</v>
      </c>
      <c r="B34" s="79">
        <v>200</v>
      </c>
      <c r="C34" s="80" t="s">
        <v>377</v>
      </c>
      <c r="D34" s="79">
        <v>16</v>
      </c>
      <c r="E34" s="79">
        <v>178</v>
      </c>
      <c r="F34" s="79">
        <v>70</v>
      </c>
      <c r="G34" s="81">
        <v>4315</v>
      </c>
    </row>
    <row r="35" spans="1:7" x14ac:dyDescent="0.25">
      <c r="A35" s="78">
        <v>34</v>
      </c>
      <c r="B35" s="79">
        <v>205</v>
      </c>
      <c r="C35" s="80" t="s">
        <v>378</v>
      </c>
      <c r="D35" s="79">
        <v>25</v>
      </c>
      <c r="E35" s="79">
        <v>186</v>
      </c>
      <c r="F35" s="79">
        <v>70</v>
      </c>
      <c r="G35" s="81">
        <v>3095</v>
      </c>
    </row>
    <row r="36" spans="1:7" x14ac:dyDescent="0.25">
      <c r="A36" s="78">
        <v>35</v>
      </c>
      <c r="B36" s="79">
        <v>210</v>
      </c>
      <c r="C36" s="80" t="s">
        <v>379</v>
      </c>
      <c r="D36" s="79">
        <v>28</v>
      </c>
      <c r="E36" s="79">
        <v>172</v>
      </c>
      <c r="F36" s="79">
        <v>70</v>
      </c>
      <c r="G36" s="81">
        <v>2805</v>
      </c>
    </row>
    <row r="37" spans="1:7" x14ac:dyDescent="0.25">
      <c r="A37" s="78">
        <v>36</v>
      </c>
      <c r="B37" s="79">
        <v>215</v>
      </c>
      <c r="C37" s="80" t="s">
        <v>380</v>
      </c>
      <c r="D37" s="79">
        <v>24</v>
      </c>
      <c r="E37" s="79">
        <v>185</v>
      </c>
      <c r="F37" s="79">
        <v>67</v>
      </c>
      <c r="G37" s="81">
        <v>2855</v>
      </c>
    </row>
    <row r="38" spans="1:7" x14ac:dyDescent="0.25">
      <c r="A38" s="78">
        <v>37</v>
      </c>
      <c r="B38" s="79">
        <v>220</v>
      </c>
      <c r="C38" s="80" t="s">
        <v>381</v>
      </c>
      <c r="D38" s="79">
        <v>21</v>
      </c>
      <c r="E38" s="79">
        <v>193</v>
      </c>
      <c r="F38" s="79">
        <v>70</v>
      </c>
      <c r="G38" s="81">
        <v>3575</v>
      </c>
    </row>
    <row r="39" spans="1:7" x14ac:dyDescent="0.25">
      <c r="A39" s="78">
        <v>38</v>
      </c>
      <c r="B39" s="79">
        <v>225</v>
      </c>
      <c r="C39" s="80" t="s">
        <v>382</v>
      </c>
      <c r="D39" s="79">
        <v>17</v>
      </c>
      <c r="E39" s="79">
        <v>184</v>
      </c>
      <c r="F39" s="79">
        <v>70</v>
      </c>
      <c r="G39" s="81">
        <v>3590</v>
      </c>
    </row>
    <row r="40" spans="1:7" x14ac:dyDescent="0.25">
      <c r="A40" s="78">
        <v>39</v>
      </c>
      <c r="B40" s="79">
        <v>230</v>
      </c>
      <c r="C40" s="80" t="s">
        <v>383</v>
      </c>
      <c r="D40" s="79">
        <v>23</v>
      </c>
      <c r="E40" s="79">
        <v>170</v>
      </c>
      <c r="F40" s="79">
        <v>68</v>
      </c>
      <c r="G40" s="81">
        <v>2570</v>
      </c>
    </row>
    <row r="41" spans="1:7" x14ac:dyDescent="0.25">
      <c r="A41" s="78">
        <v>40</v>
      </c>
      <c r="B41" s="79">
        <v>235</v>
      </c>
      <c r="C41" s="80" t="s">
        <v>384</v>
      </c>
      <c r="D41" s="79">
        <v>26</v>
      </c>
      <c r="E41" s="79">
        <v>171</v>
      </c>
      <c r="F41" s="79">
        <v>70</v>
      </c>
      <c r="G41" s="81">
        <v>2985</v>
      </c>
    </row>
    <row r="42" spans="1:7" x14ac:dyDescent="0.25">
      <c r="A42" s="78">
        <v>41</v>
      </c>
      <c r="B42" s="79">
        <v>240</v>
      </c>
      <c r="C42" s="80" t="s">
        <v>385</v>
      </c>
      <c r="D42" s="79">
        <v>19</v>
      </c>
      <c r="E42" s="79">
        <v>200</v>
      </c>
      <c r="F42" s="79">
        <v>77</v>
      </c>
      <c r="G42" s="81">
        <v>4120</v>
      </c>
    </row>
    <row r="43" spans="1:7" x14ac:dyDescent="0.25">
      <c r="A43" s="78">
        <v>42</v>
      </c>
      <c r="B43" s="79">
        <v>245</v>
      </c>
      <c r="C43" s="80" t="s">
        <v>386</v>
      </c>
      <c r="D43" s="79">
        <v>34</v>
      </c>
      <c r="E43" s="79">
        <v>172</v>
      </c>
      <c r="F43" s="79">
        <v>68</v>
      </c>
      <c r="G43" s="81">
        <v>3045</v>
      </c>
    </row>
    <row r="44" spans="1:7" x14ac:dyDescent="0.25">
      <c r="A44" s="82">
        <v>43</v>
      </c>
      <c r="B44" s="83">
        <v>250</v>
      </c>
      <c r="C44" s="84" t="s">
        <v>387</v>
      </c>
      <c r="D44" s="83">
        <v>20</v>
      </c>
      <c r="E44" s="83">
        <v>186</v>
      </c>
      <c r="F44" s="83">
        <v>72</v>
      </c>
      <c r="G44" s="85">
        <v>3690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1FB1-FFF1-43FB-B8D7-0B0CEE946B60}">
  <dimension ref="A1:L51"/>
  <sheetViews>
    <sheetView workbookViewId="0">
      <selection activeCell="L2" sqref="L2:L11"/>
    </sheetView>
  </sheetViews>
  <sheetFormatPr defaultRowHeight="15" x14ac:dyDescent="0.25"/>
  <sheetData>
    <row r="1" spans="1:12" x14ac:dyDescent="0.25">
      <c r="A1" s="1" t="s">
        <v>214</v>
      </c>
      <c r="B1" s="2" t="s">
        <v>392</v>
      </c>
      <c r="C1" s="2" t="s">
        <v>393</v>
      </c>
      <c r="D1" s="2" t="s">
        <v>394</v>
      </c>
      <c r="E1" s="2" t="s">
        <v>395</v>
      </c>
      <c r="F1" s="2" t="s">
        <v>14</v>
      </c>
      <c r="G1" s="2" t="s">
        <v>396</v>
      </c>
      <c r="H1" s="2" t="s">
        <v>397</v>
      </c>
      <c r="I1" s="2" t="s">
        <v>398</v>
      </c>
      <c r="J1" s="3" t="s">
        <v>399</v>
      </c>
      <c r="K1" s="2" t="s">
        <v>400</v>
      </c>
      <c r="L1" s="18" t="s">
        <v>189</v>
      </c>
    </row>
    <row r="2" spans="1:12" x14ac:dyDescent="0.25">
      <c r="A2" s="74" t="s">
        <v>220</v>
      </c>
      <c r="B2" s="86">
        <v>19.8</v>
      </c>
      <c r="C2" s="86">
        <v>19.100000000000001</v>
      </c>
      <c r="D2" s="75">
        <v>1221</v>
      </c>
      <c r="E2" s="86">
        <v>89.2</v>
      </c>
      <c r="F2" s="86">
        <v>37.4</v>
      </c>
      <c r="G2" s="86">
        <v>55.8</v>
      </c>
      <c r="H2" s="87">
        <v>0</v>
      </c>
      <c r="I2" s="87">
        <v>1</v>
      </c>
      <c r="J2" s="87">
        <v>0</v>
      </c>
      <c r="K2" s="88">
        <v>0</v>
      </c>
      <c r="L2" s="95" t="s">
        <v>401</v>
      </c>
    </row>
    <row r="3" spans="1:12" x14ac:dyDescent="0.25">
      <c r="A3" s="78" t="s">
        <v>222</v>
      </c>
      <c r="B3" s="89">
        <v>28.7</v>
      </c>
      <c r="C3" s="89">
        <v>8.3000000000000007</v>
      </c>
      <c r="D3" s="79">
        <v>2187</v>
      </c>
      <c r="E3" s="89">
        <v>74.7</v>
      </c>
      <c r="F3" s="89">
        <v>33.9</v>
      </c>
      <c r="G3" s="89">
        <v>65.599999999999994</v>
      </c>
      <c r="H3" s="90">
        <v>0</v>
      </c>
      <c r="I3" s="90">
        <v>0</v>
      </c>
      <c r="J3" s="90">
        <v>1</v>
      </c>
      <c r="K3" s="91">
        <v>0</v>
      </c>
      <c r="L3" s="95" t="s">
        <v>402</v>
      </c>
    </row>
    <row r="4" spans="1:12" x14ac:dyDescent="0.25">
      <c r="A4" s="78" t="s">
        <v>224</v>
      </c>
      <c r="B4" s="89">
        <v>27.9</v>
      </c>
      <c r="C4" s="89">
        <v>14.3</v>
      </c>
      <c r="D4" s="79">
        <v>1137</v>
      </c>
      <c r="E4" s="89">
        <v>96.7</v>
      </c>
      <c r="F4" s="89">
        <v>34.5</v>
      </c>
      <c r="G4" s="89">
        <v>57.4</v>
      </c>
      <c r="H4" s="90">
        <v>0</v>
      </c>
      <c r="I4" s="90">
        <v>0</v>
      </c>
      <c r="J4" s="90">
        <v>1</v>
      </c>
      <c r="K4" s="91">
        <v>0</v>
      </c>
      <c r="L4" s="95" t="s">
        <v>403</v>
      </c>
    </row>
    <row r="5" spans="1:12" x14ac:dyDescent="0.25">
      <c r="A5" s="78" t="s">
        <v>226</v>
      </c>
      <c r="B5" s="89">
        <v>17.5</v>
      </c>
      <c r="C5" s="89">
        <v>18.600000000000001</v>
      </c>
      <c r="D5" s="79">
        <v>1158</v>
      </c>
      <c r="E5" s="89">
        <v>78.8</v>
      </c>
      <c r="F5" s="89">
        <v>37</v>
      </c>
      <c r="G5" s="89">
        <v>54.9</v>
      </c>
      <c r="H5" s="90">
        <v>0</v>
      </c>
      <c r="I5" s="90">
        <v>1</v>
      </c>
      <c r="J5" s="90">
        <v>0</v>
      </c>
      <c r="K5" s="91">
        <v>0</v>
      </c>
      <c r="L5" s="95" t="s">
        <v>404</v>
      </c>
    </row>
    <row r="6" spans="1:12" x14ac:dyDescent="0.25">
      <c r="A6" s="78" t="s">
        <v>228</v>
      </c>
      <c r="B6" s="89">
        <v>30.4</v>
      </c>
      <c r="C6" s="89">
        <v>19.7</v>
      </c>
      <c r="D6" s="79">
        <v>1657</v>
      </c>
      <c r="E6" s="89">
        <v>99.3</v>
      </c>
      <c r="F6" s="89">
        <v>34.4</v>
      </c>
      <c r="G6" s="89">
        <v>57.6</v>
      </c>
      <c r="H6" s="90">
        <v>0</v>
      </c>
      <c r="I6" s="90">
        <v>0</v>
      </c>
      <c r="J6" s="90">
        <v>1</v>
      </c>
      <c r="K6" s="91">
        <v>0</v>
      </c>
      <c r="L6" s="95" t="s">
        <v>405</v>
      </c>
    </row>
    <row r="7" spans="1:12" x14ac:dyDescent="0.25">
      <c r="A7" s="78" t="s">
        <v>230</v>
      </c>
      <c r="B7" s="89">
        <v>35.4</v>
      </c>
      <c r="C7" s="89">
        <v>10.8</v>
      </c>
      <c r="D7" s="79">
        <v>1599</v>
      </c>
      <c r="E7" s="89">
        <v>91.6</v>
      </c>
      <c r="F7" s="89">
        <v>34.700000000000003</v>
      </c>
      <c r="G7" s="89">
        <v>65.3</v>
      </c>
      <c r="H7" s="90">
        <v>0</v>
      </c>
      <c r="I7" s="90">
        <v>0</v>
      </c>
      <c r="J7" s="90">
        <v>1</v>
      </c>
      <c r="K7" s="91">
        <v>0</v>
      </c>
      <c r="L7" s="95" t="s">
        <v>406</v>
      </c>
    </row>
    <row r="8" spans="1:12" x14ac:dyDescent="0.25">
      <c r="A8" s="78" t="s">
        <v>232</v>
      </c>
      <c r="B8" s="89">
        <v>36.9</v>
      </c>
      <c r="C8" s="89">
        <v>10</v>
      </c>
      <c r="D8" s="79">
        <v>2142</v>
      </c>
      <c r="E8" s="89">
        <v>100</v>
      </c>
      <c r="F8" s="89">
        <v>39.299999999999997</v>
      </c>
      <c r="G8" s="89">
        <v>60</v>
      </c>
      <c r="H8" s="90">
        <v>1</v>
      </c>
      <c r="I8" s="90">
        <v>0</v>
      </c>
      <c r="J8" s="90">
        <v>0</v>
      </c>
      <c r="K8" s="91">
        <v>0</v>
      </c>
      <c r="L8" s="95" t="s">
        <v>407</v>
      </c>
    </row>
    <row r="9" spans="1:12" x14ac:dyDescent="0.25">
      <c r="A9" s="78" t="s">
        <v>234</v>
      </c>
      <c r="B9" s="89">
        <v>25.6</v>
      </c>
      <c r="C9" s="89">
        <v>13.2</v>
      </c>
      <c r="D9" s="79">
        <v>1687</v>
      </c>
      <c r="E9" s="89">
        <v>100</v>
      </c>
      <c r="F9" s="89">
        <v>37.9</v>
      </c>
      <c r="G9" s="89">
        <v>61.1</v>
      </c>
      <c r="H9" s="90">
        <v>1</v>
      </c>
      <c r="I9" s="90">
        <v>0</v>
      </c>
      <c r="J9" s="90">
        <v>0</v>
      </c>
      <c r="K9" s="91">
        <v>0</v>
      </c>
      <c r="L9" s="95" t="s">
        <v>408</v>
      </c>
    </row>
    <row r="10" spans="1:12" x14ac:dyDescent="0.25">
      <c r="A10" s="78" t="s">
        <v>236</v>
      </c>
      <c r="B10" s="89">
        <v>25.5</v>
      </c>
      <c r="C10" s="89">
        <v>13.2</v>
      </c>
      <c r="D10" s="79">
        <v>1286</v>
      </c>
      <c r="E10" s="89">
        <v>97.8</v>
      </c>
      <c r="F10" s="89">
        <v>39.5</v>
      </c>
      <c r="G10" s="89">
        <v>55.4</v>
      </c>
      <c r="H10" s="90">
        <v>0</v>
      </c>
      <c r="I10" s="90">
        <v>1</v>
      </c>
      <c r="J10" s="90">
        <v>0</v>
      </c>
      <c r="K10" s="91">
        <v>0</v>
      </c>
      <c r="L10" s="95" t="s">
        <v>409</v>
      </c>
    </row>
    <row r="11" spans="1:12" x14ac:dyDescent="0.25">
      <c r="A11" s="78" t="s">
        <v>238</v>
      </c>
      <c r="B11" s="89">
        <v>26.9</v>
      </c>
      <c r="C11" s="89">
        <v>14.3</v>
      </c>
      <c r="D11" s="79">
        <v>1648</v>
      </c>
      <c r="E11" s="89">
        <v>91</v>
      </c>
      <c r="F11" s="89">
        <v>34.299999999999997</v>
      </c>
      <c r="G11" s="89">
        <v>59.2</v>
      </c>
      <c r="H11" s="90">
        <v>0</v>
      </c>
      <c r="I11" s="90">
        <v>1</v>
      </c>
      <c r="J11" s="90">
        <v>0</v>
      </c>
      <c r="K11" s="91">
        <v>0</v>
      </c>
      <c r="L11" s="95" t="s">
        <v>410</v>
      </c>
    </row>
    <row r="12" spans="1:12" x14ac:dyDescent="0.25">
      <c r="A12" s="78" t="s">
        <v>239</v>
      </c>
      <c r="B12" s="89">
        <v>30.6</v>
      </c>
      <c r="C12" s="89">
        <v>12.7</v>
      </c>
      <c r="D12" s="79">
        <v>1347</v>
      </c>
      <c r="E12" s="89">
        <v>100</v>
      </c>
      <c r="F12" s="89">
        <v>38.5</v>
      </c>
      <c r="G12" s="89">
        <v>60.1</v>
      </c>
      <c r="H12" s="90">
        <v>0</v>
      </c>
      <c r="I12" s="90">
        <v>0</v>
      </c>
      <c r="J12" s="90">
        <v>1</v>
      </c>
      <c r="K12" s="91">
        <v>0</v>
      </c>
    </row>
    <row r="13" spans="1:12" x14ac:dyDescent="0.25">
      <c r="A13" s="78" t="s">
        <v>241</v>
      </c>
      <c r="B13" s="89">
        <v>25.9</v>
      </c>
      <c r="C13" s="89">
        <v>10.9</v>
      </c>
      <c r="D13" s="79">
        <v>1244</v>
      </c>
      <c r="E13" s="89">
        <v>86.1</v>
      </c>
      <c r="F13" s="89">
        <v>34.6</v>
      </c>
      <c r="G13" s="89">
        <v>61.3</v>
      </c>
      <c r="H13" s="90">
        <v>0</v>
      </c>
      <c r="I13" s="90">
        <v>0</v>
      </c>
      <c r="J13" s="90">
        <v>1</v>
      </c>
      <c r="K13" s="91">
        <v>0</v>
      </c>
    </row>
    <row r="14" spans="1:12" x14ac:dyDescent="0.25">
      <c r="A14" s="78" t="s">
        <v>243</v>
      </c>
      <c r="B14" s="89">
        <v>29.5</v>
      </c>
      <c r="C14" s="89">
        <v>12.7</v>
      </c>
      <c r="D14" s="79">
        <v>2334</v>
      </c>
      <c r="E14" s="89">
        <v>95.2</v>
      </c>
      <c r="F14" s="89">
        <v>35.6</v>
      </c>
      <c r="G14" s="89">
        <v>59.7</v>
      </c>
      <c r="H14" s="90">
        <v>0</v>
      </c>
      <c r="I14" s="90">
        <v>0</v>
      </c>
      <c r="J14" s="90">
        <v>0</v>
      </c>
      <c r="K14" s="91">
        <v>1</v>
      </c>
    </row>
    <row r="15" spans="1:12" x14ac:dyDescent="0.25">
      <c r="A15" s="78" t="s">
        <v>245</v>
      </c>
      <c r="B15" s="89">
        <v>22.5</v>
      </c>
      <c r="C15" s="89">
        <v>12.8</v>
      </c>
      <c r="D15" s="79">
        <v>1644</v>
      </c>
      <c r="E15" s="89">
        <v>94.1</v>
      </c>
      <c r="F15" s="89">
        <v>36.1</v>
      </c>
      <c r="G15" s="89">
        <v>61</v>
      </c>
      <c r="H15" s="90">
        <v>0</v>
      </c>
      <c r="I15" s="90">
        <v>0</v>
      </c>
      <c r="J15" s="90">
        <v>0</v>
      </c>
      <c r="K15" s="91">
        <v>1</v>
      </c>
    </row>
    <row r="16" spans="1:12" x14ac:dyDescent="0.25">
      <c r="A16" s="78" t="s">
        <v>247</v>
      </c>
      <c r="B16" s="89">
        <v>24.5</v>
      </c>
      <c r="C16" s="89">
        <v>10.1</v>
      </c>
      <c r="D16" s="79">
        <v>1407</v>
      </c>
      <c r="E16" s="89">
        <v>72.400000000000006</v>
      </c>
      <c r="F16" s="89">
        <v>38.6</v>
      </c>
      <c r="G16" s="89">
        <v>65.400000000000006</v>
      </c>
      <c r="H16" s="90">
        <v>0</v>
      </c>
      <c r="I16" s="90">
        <v>0</v>
      </c>
      <c r="J16" s="90">
        <v>0</v>
      </c>
      <c r="K16" s="91">
        <v>1</v>
      </c>
    </row>
    <row r="17" spans="1:11" x14ac:dyDescent="0.25">
      <c r="A17" s="78" t="s">
        <v>249</v>
      </c>
      <c r="B17" s="89">
        <v>30.4</v>
      </c>
      <c r="C17" s="89">
        <v>8.6</v>
      </c>
      <c r="D17" s="79">
        <v>1418</v>
      </c>
      <c r="E17" s="89">
        <v>84.7</v>
      </c>
      <c r="F17" s="89">
        <v>36.1</v>
      </c>
      <c r="G17" s="89">
        <v>64.5</v>
      </c>
      <c r="H17" s="90">
        <v>0</v>
      </c>
      <c r="I17" s="90">
        <v>0</v>
      </c>
      <c r="J17" s="90">
        <v>0</v>
      </c>
      <c r="K17" s="91">
        <v>1</v>
      </c>
    </row>
    <row r="18" spans="1:11" x14ac:dyDescent="0.25">
      <c r="A18" s="78" t="s">
        <v>251</v>
      </c>
      <c r="B18" s="89">
        <v>19</v>
      </c>
      <c r="C18" s="89">
        <v>21.1</v>
      </c>
      <c r="D18" s="79">
        <v>1263</v>
      </c>
      <c r="E18" s="89">
        <v>75.599999999999994</v>
      </c>
      <c r="F18" s="89">
        <v>37.5</v>
      </c>
      <c r="G18" s="89">
        <v>55.4</v>
      </c>
      <c r="H18" s="90">
        <v>0</v>
      </c>
      <c r="I18" s="90">
        <v>1</v>
      </c>
      <c r="J18" s="90">
        <v>0</v>
      </c>
      <c r="K18" s="91">
        <v>0</v>
      </c>
    </row>
    <row r="19" spans="1:11" x14ac:dyDescent="0.25">
      <c r="A19" s="78" t="s">
        <v>253</v>
      </c>
      <c r="B19" s="89">
        <v>19.7</v>
      </c>
      <c r="C19" s="89">
        <v>19.8</v>
      </c>
      <c r="D19" s="79">
        <v>1367</v>
      </c>
      <c r="E19" s="89">
        <v>93.2</v>
      </c>
      <c r="F19" s="89">
        <v>35.4</v>
      </c>
      <c r="G19" s="89">
        <v>54.9</v>
      </c>
      <c r="H19" s="90">
        <v>0</v>
      </c>
      <c r="I19" s="90">
        <v>1</v>
      </c>
      <c r="J19" s="90">
        <v>0</v>
      </c>
      <c r="K19" s="91">
        <v>0</v>
      </c>
    </row>
    <row r="20" spans="1:11" x14ac:dyDescent="0.25">
      <c r="A20" s="78" t="s">
        <v>255</v>
      </c>
      <c r="B20" s="89">
        <v>24.2</v>
      </c>
      <c r="C20" s="89">
        <v>12.8</v>
      </c>
      <c r="D20" s="79">
        <v>1716</v>
      </c>
      <c r="E20" s="89">
        <v>70.5</v>
      </c>
      <c r="F20" s="89">
        <v>41.2</v>
      </c>
      <c r="G20" s="89">
        <v>61</v>
      </c>
      <c r="H20" s="90">
        <v>1</v>
      </c>
      <c r="I20" s="90">
        <v>0</v>
      </c>
      <c r="J20" s="90">
        <v>0</v>
      </c>
      <c r="K20" s="91">
        <v>0</v>
      </c>
    </row>
    <row r="21" spans="1:11" x14ac:dyDescent="0.25">
      <c r="A21" s="78" t="s">
        <v>257</v>
      </c>
      <c r="B21" s="89">
        <v>36.299999999999997</v>
      </c>
      <c r="C21" s="89">
        <v>13</v>
      </c>
      <c r="D21" s="79">
        <v>1627</v>
      </c>
      <c r="E21" s="89">
        <v>98.5</v>
      </c>
      <c r="F21" s="89">
        <v>37.1</v>
      </c>
      <c r="G21" s="89">
        <v>62.3</v>
      </c>
      <c r="H21" s="90">
        <v>1</v>
      </c>
      <c r="I21" s="90">
        <v>0</v>
      </c>
      <c r="J21" s="90">
        <v>0</v>
      </c>
      <c r="K21" s="91">
        <v>0</v>
      </c>
    </row>
    <row r="22" spans="1:11" x14ac:dyDescent="0.25">
      <c r="A22" s="78" t="s">
        <v>259</v>
      </c>
      <c r="B22" s="89">
        <v>36.799999999999997</v>
      </c>
      <c r="C22" s="89">
        <v>12.5</v>
      </c>
      <c r="D22" s="79">
        <v>1807</v>
      </c>
      <c r="E22" s="89">
        <v>99.6</v>
      </c>
      <c r="F22" s="89">
        <v>38.200000000000003</v>
      </c>
      <c r="G22" s="89">
        <v>61.9</v>
      </c>
      <c r="H22" s="90">
        <v>1</v>
      </c>
      <c r="I22" s="90">
        <v>0</v>
      </c>
      <c r="J22" s="90">
        <v>0</v>
      </c>
      <c r="K22" s="91">
        <v>0</v>
      </c>
    </row>
    <row r="23" spans="1:11" x14ac:dyDescent="0.25">
      <c r="A23" s="78" t="s">
        <v>261</v>
      </c>
      <c r="B23" s="89">
        <v>24.6</v>
      </c>
      <c r="C23" s="89">
        <v>11.5</v>
      </c>
      <c r="D23" s="79">
        <v>1880</v>
      </c>
      <c r="E23" s="89">
        <v>92.1</v>
      </c>
      <c r="F23" s="89">
        <v>36.9</v>
      </c>
      <c r="G23" s="89">
        <v>59.7</v>
      </c>
      <c r="H23" s="90">
        <v>0</v>
      </c>
      <c r="I23" s="90">
        <v>0</v>
      </c>
      <c r="J23" s="90">
        <v>0</v>
      </c>
      <c r="K23" s="91">
        <v>1</v>
      </c>
    </row>
    <row r="24" spans="1:11" x14ac:dyDescent="0.25">
      <c r="A24" s="78" t="s">
        <v>263</v>
      </c>
      <c r="B24" s="89">
        <v>34.299999999999997</v>
      </c>
      <c r="C24" s="89">
        <v>7.3</v>
      </c>
      <c r="D24" s="79">
        <v>1860</v>
      </c>
      <c r="E24" s="89">
        <v>87.2</v>
      </c>
      <c r="F24" s="89">
        <v>36.700000000000003</v>
      </c>
      <c r="G24" s="89">
        <v>69</v>
      </c>
      <c r="H24" s="90">
        <v>0</v>
      </c>
      <c r="I24" s="90">
        <v>0</v>
      </c>
      <c r="J24" s="90">
        <v>0</v>
      </c>
      <c r="K24" s="91">
        <v>1</v>
      </c>
    </row>
    <row r="25" spans="1:11" x14ac:dyDescent="0.25">
      <c r="A25" s="78" t="s">
        <v>265</v>
      </c>
      <c r="B25" s="89">
        <v>21.9</v>
      </c>
      <c r="C25" s="89">
        <v>20.100000000000001</v>
      </c>
      <c r="D25" s="79">
        <v>1178</v>
      </c>
      <c r="E25" s="89">
        <v>77.8</v>
      </c>
      <c r="F25" s="89">
        <v>35.5</v>
      </c>
      <c r="G25" s="89">
        <v>55.5</v>
      </c>
      <c r="H25" s="90">
        <v>0</v>
      </c>
      <c r="I25" s="90">
        <v>1</v>
      </c>
      <c r="J25" s="90">
        <v>0</v>
      </c>
      <c r="K25" s="91">
        <v>0</v>
      </c>
    </row>
    <row r="26" spans="1:11" x14ac:dyDescent="0.25">
      <c r="A26" s="78" t="s">
        <v>267</v>
      </c>
      <c r="B26" s="89">
        <v>24.9</v>
      </c>
      <c r="C26" s="89">
        <v>14.6</v>
      </c>
      <c r="D26" s="79">
        <v>1288</v>
      </c>
      <c r="E26" s="89">
        <v>86.2</v>
      </c>
      <c r="F26" s="89">
        <v>37.4</v>
      </c>
      <c r="G26" s="89">
        <v>62.7</v>
      </c>
      <c r="H26" s="90">
        <v>0</v>
      </c>
      <c r="I26" s="90">
        <v>0</v>
      </c>
      <c r="J26" s="90">
        <v>0</v>
      </c>
      <c r="K26" s="91">
        <v>1</v>
      </c>
    </row>
    <row r="27" spans="1:11" x14ac:dyDescent="0.25">
      <c r="A27" s="78" t="s">
        <v>269</v>
      </c>
      <c r="B27" s="89">
        <v>25.4</v>
      </c>
      <c r="C27" s="89">
        <v>7.9</v>
      </c>
      <c r="D27" s="79">
        <v>1312</v>
      </c>
      <c r="E27" s="89">
        <v>64.8</v>
      </c>
      <c r="F27" s="89">
        <v>40.200000000000003</v>
      </c>
      <c r="G27" s="89">
        <v>62</v>
      </c>
      <c r="H27" s="90">
        <v>0</v>
      </c>
      <c r="I27" s="90">
        <v>0</v>
      </c>
      <c r="J27" s="90">
        <v>1</v>
      </c>
      <c r="K27" s="91">
        <v>0</v>
      </c>
    </row>
    <row r="28" spans="1:11" x14ac:dyDescent="0.25">
      <c r="A28" s="78" t="s">
        <v>271</v>
      </c>
      <c r="B28" s="89">
        <v>25.1</v>
      </c>
      <c r="C28" s="89">
        <v>10.3</v>
      </c>
      <c r="D28" s="79">
        <v>1373</v>
      </c>
      <c r="E28" s="89">
        <v>79.7</v>
      </c>
      <c r="F28" s="89">
        <v>36.200000000000003</v>
      </c>
      <c r="G28" s="89">
        <v>68.5</v>
      </c>
      <c r="H28" s="90">
        <v>0</v>
      </c>
      <c r="I28" s="90">
        <v>0</v>
      </c>
      <c r="J28" s="90">
        <v>0</v>
      </c>
      <c r="K28" s="91">
        <v>1</v>
      </c>
    </row>
    <row r="29" spans="1:11" x14ac:dyDescent="0.25">
      <c r="A29" s="78" t="s">
        <v>273</v>
      </c>
      <c r="B29" s="89">
        <v>23.5</v>
      </c>
      <c r="C29" s="89">
        <v>13.4</v>
      </c>
      <c r="D29" s="79">
        <v>1516</v>
      </c>
      <c r="E29" s="89">
        <v>98</v>
      </c>
      <c r="F29" s="89">
        <v>35.200000000000003</v>
      </c>
      <c r="G29" s="89">
        <v>59.3</v>
      </c>
      <c r="H29" s="90">
        <v>0</v>
      </c>
      <c r="I29" s="90">
        <v>0</v>
      </c>
      <c r="J29" s="90">
        <v>1</v>
      </c>
      <c r="K29" s="91">
        <v>0</v>
      </c>
    </row>
    <row r="30" spans="1:11" x14ac:dyDescent="0.25">
      <c r="A30" s="78" t="s">
        <v>275</v>
      </c>
      <c r="B30" s="89">
        <v>32.799999999999997</v>
      </c>
      <c r="C30" s="89">
        <v>8.1</v>
      </c>
      <c r="D30" s="79">
        <v>1632</v>
      </c>
      <c r="E30" s="89">
        <v>96.4</v>
      </c>
      <c r="F30" s="89">
        <v>39.5</v>
      </c>
      <c r="G30" s="89">
        <v>64.7</v>
      </c>
      <c r="H30" s="90">
        <v>1</v>
      </c>
      <c r="I30" s="90">
        <v>0</v>
      </c>
      <c r="J30" s="90">
        <v>0</v>
      </c>
      <c r="K30" s="91">
        <v>0</v>
      </c>
    </row>
    <row r="31" spans="1:11" x14ac:dyDescent="0.25">
      <c r="A31" s="78" t="s">
        <v>277</v>
      </c>
      <c r="B31" s="89">
        <v>36.299999999999997</v>
      </c>
      <c r="C31" s="89">
        <v>13</v>
      </c>
      <c r="D31" s="79">
        <v>1903</v>
      </c>
      <c r="E31" s="89">
        <v>100</v>
      </c>
      <c r="F31" s="89">
        <v>38</v>
      </c>
      <c r="G31" s="89">
        <v>58.4</v>
      </c>
      <c r="H31" s="90">
        <v>1</v>
      </c>
      <c r="I31" s="90">
        <v>0</v>
      </c>
      <c r="J31" s="90">
        <v>0</v>
      </c>
      <c r="K31" s="91">
        <v>0</v>
      </c>
    </row>
    <row r="32" spans="1:11" x14ac:dyDescent="0.25">
      <c r="A32" s="78" t="s">
        <v>279</v>
      </c>
      <c r="B32" s="89">
        <v>27.2</v>
      </c>
      <c r="C32" s="89">
        <v>19</v>
      </c>
      <c r="D32" s="79">
        <v>1608</v>
      </c>
      <c r="E32" s="89">
        <v>95.9</v>
      </c>
      <c r="F32" s="89">
        <v>36.200000000000003</v>
      </c>
      <c r="G32" s="89">
        <v>57.5</v>
      </c>
      <c r="H32" s="90">
        <v>0</v>
      </c>
      <c r="I32" s="90">
        <v>0</v>
      </c>
      <c r="J32" s="90">
        <v>1</v>
      </c>
      <c r="K32" s="91">
        <v>0</v>
      </c>
    </row>
    <row r="33" spans="1:11" x14ac:dyDescent="0.25">
      <c r="A33" s="78" t="s">
        <v>281</v>
      </c>
      <c r="B33" s="89">
        <v>30.3</v>
      </c>
      <c r="C33" s="89">
        <v>14.4</v>
      </c>
      <c r="D33" s="79">
        <v>2046</v>
      </c>
      <c r="E33" s="89">
        <v>97.7</v>
      </c>
      <c r="F33" s="89">
        <v>37.5</v>
      </c>
      <c r="G33" s="89">
        <v>56.2</v>
      </c>
      <c r="H33" s="90">
        <v>1</v>
      </c>
      <c r="I33" s="90">
        <v>0</v>
      </c>
      <c r="J33" s="90">
        <v>0</v>
      </c>
      <c r="K33" s="91">
        <v>0</v>
      </c>
    </row>
    <row r="34" spans="1:11" x14ac:dyDescent="0.25">
      <c r="A34" s="78" t="s">
        <v>283</v>
      </c>
      <c r="B34" s="89">
        <v>25.4</v>
      </c>
      <c r="C34" s="89">
        <v>16</v>
      </c>
      <c r="D34" s="79">
        <v>1233</v>
      </c>
      <c r="E34" s="89">
        <v>91.7</v>
      </c>
      <c r="F34" s="89">
        <v>36.200000000000003</v>
      </c>
      <c r="G34" s="89">
        <v>58.8</v>
      </c>
      <c r="H34" s="90">
        <v>0</v>
      </c>
      <c r="I34" s="90">
        <v>1</v>
      </c>
      <c r="J34" s="90">
        <v>0</v>
      </c>
      <c r="K34" s="91">
        <v>0</v>
      </c>
    </row>
    <row r="35" spans="1:11" x14ac:dyDescent="0.25">
      <c r="A35" s="78" t="s">
        <v>285</v>
      </c>
      <c r="B35" s="89">
        <v>27.2</v>
      </c>
      <c r="C35" s="89">
        <v>10</v>
      </c>
      <c r="D35" s="79">
        <v>1316</v>
      </c>
      <c r="E35" s="89">
        <v>69.2</v>
      </c>
      <c r="F35" s="89">
        <v>39.1</v>
      </c>
      <c r="G35" s="89">
        <v>67.599999999999994</v>
      </c>
      <c r="H35" s="90">
        <v>0</v>
      </c>
      <c r="I35" s="90">
        <v>0</v>
      </c>
      <c r="J35" s="90">
        <v>0</v>
      </c>
      <c r="K35" s="91">
        <v>1</v>
      </c>
    </row>
    <row r="36" spans="1:11" x14ac:dyDescent="0.25">
      <c r="A36" s="78" t="s">
        <v>287</v>
      </c>
      <c r="B36" s="89">
        <v>22.9</v>
      </c>
      <c r="C36" s="89">
        <v>12.1</v>
      </c>
      <c r="D36" s="79">
        <v>1667</v>
      </c>
      <c r="E36" s="89">
        <v>95.5</v>
      </c>
      <c r="F36" s="89">
        <v>37.6</v>
      </c>
      <c r="G36" s="89">
        <v>60.4</v>
      </c>
      <c r="H36" s="90">
        <v>0</v>
      </c>
      <c r="I36" s="90">
        <v>0</v>
      </c>
      <c r="J36" s="90">
        <v>0</v>
      </c>
      <c r="K36" s="91">
        <v>1</v>
      </c>
    </row>
    <row r="37" spans="1:11" x14ac:dyDescent="0.25">
      <c r="A37" s="78" t="s">
        <v>289</v>
      </c>
      <c r="B37" s="89">
        <v>24</v>
      </c>
      <c r="C37" s="89">
        <v>14.8</v>
      </c>
      <c r="D37" s="79">
        <v>1163</v>
      </c>
      <c r="E37" s="89">
        <v>84.2</v>
      </c>
      <c r="F37" s="89">
        <v>36.5</v>
      </c>
      <c r="G37" s="89">
        <v>57.6</v>
      </c>
      <c r="H37" s="90">
        <v>0</v>
      </c>
      <c r="I37" s="90">
        <v>0</v>
      </c>
      <c r="J37" s="90">
        <v>0</v>
      </c>
      <c r="K37" s="91">
        <v>1</v>
      </c>
    </row>
    <row r="38" spans="1:11" x14ac:dyDescent="0.25">
      <c r="A38" s="78" t="s">
        <v>291</v>
      </c>
      <c r="B38" s="89">
        <v>29.1</v>
      </c>
      <c r="C38" s="89">
        <v>11.3</v>
      </c>
      <c r="D38" s="79">
        <v>1384</v>
      </c>
      <c r="E38" s="89">
        <v>96.1</v>
      </c>
      <c r="F38" s="89">
        <v>37</v>
      </c>
      <c r="G38" s="89">
        <v>59</v>
      </c>
      <c r="H38" s="90">
        <v>0</v>
      </c>
      <c r="I38" s="90">
        <v>0</v>
      </c>
      <c r="J38" s="90">
        <v>1</v>
      </c>
      <c r="K38" s="91">
        <v>0</v>
      </c>
    </row>
    <row r="39" spans="1:11" x14ac:dyDescent="0.25">
      <c r="A39" s="78" t="s">
        <v>293</v>
      </c>
      <c r="B39" s="89">
        <v>25.8</v>
      </c>
      <c r="C39" s="89">
        <v>13.7</v>
      </c>
      <c r="D39" s="79">
        <v>1617</v>
      </c>
      <c r="E39" s="89">
        <v>96.9</v>
      </c>
      <c r="F39" s="89">
        <v>39.700000000000003</v>
      </c>
      <c r="G39" s="89">
        <v>58.1</v>
      </c>
      <c r="H39" s="90">
        <v>1</v>
      </c>
      <c r="I39" s="90">
        <v>0</v>
      </c>
      <c r="J39" s="90">
        <v>0</v>
      </c>
      <c r="K39" s="91">
        <v>0</v>
      </c>
    </row>
    <row r="40" spans="1:11" x14ac:dyDescent="0.25">
      <c r="A40" s="78" t="s">
        <v>295</v>
      </c>
      <c r="B40" s="89">
        <v>29.2</v>
      </c>
      <c r="C40" s="89">
        <v>16</v>
      </c>
      <c r="D40" s="79">
        <v>1594</v>
      </c>
      <c r="E40" s="89">
        <v>100</v>
      </c>
      <c r="F40" s="89">
        <v>38.4</v>
      </c>
      <c r="G40" s="89">
        <v>61.7</v>
      </c>
      <c r="H40" s="90">
        <v>1</v>
      </c>
      <c r="I40" s="90">
        <v>0</v>
      </c>
      <c r="J40" s="90">
        <v>0</v>
      </c>
      <c r="K40" s="91">
        <v>0</v>
      </c>
    </row>
    <row r="41" spans="1:11" x14ac:dyDescent="0.25">
      <c r="A41" s="78" t="s">
        <v>297</v>
      </c>
      <c r="B41" s="89">
        <v>24.2</v>
      </c>
      <c r="C41" s="89">
        <v>17</v>
      </c>
      <c r="D41" s="79">
        <v>1422</v>
      </c>
      <c r="E41" s="89">
        <v>93.5</v>
      </c>
      <c r="F41" s="89">
        <v>37.1</v>
      </c>
      <c r="G41" s="89">
        <v>59.5</v>
      </c>
      <c r="H41" s="90">
        <v>0</v>
      </c>
      <c r="I41" s="90">
        <v>1</v>
      </c>
      <c r="J41" s="90">
        <v>0</v>
      </c>
      <c r="K41" s="91">
        <v>0</v>
      </c>
    </row>
    <row r="42" spans="1:11" x14ac:dyDescent="0.25">
      <c r="A42" s="78" t="s">
        <v>299</v>
      </c>
      <c r="B42" s="89">
        <v>25.1</v>
      </c>
      <c r="C42" s="89">
        <v>11.5</v>
      </c>
      <c r="D42" s="79">
        <v>1329</v>
      </c>
      <c r="E42" s="89">
        <v>71.3</v>
      </c>
      <c r="F42" s="89">
        <v>37</v>
      </c>
      <c r="G42" s="89">
        <v>69.400000000000006</v>
      </c>
      <c r="H42" s="90">
        <v>0</v>
      </c>
      <c r="I42" s="90">
        <v>0</v>
      </c>
      <c r="J42" s="90">
        <v>0</v>
      </c>
      <c r="K42" s="91">
        <v>1</v>
      </c>
    </row>
    <row r="43" spans="1:11" x14ac:dyDescent="0.25">
      <c r="A43" s="78" t="s">
        <v>301</v>
      </c>
      <c r="B43" s="89">
        <v>21.6</v>
      </c>
      <c r="C43" s="89">
        <v>18.2</v>
      </c>
      <c r="D43" s="79">
        <v>1079</v>
      </c>
      <c r="E43" s="89">
        <v>89.5</v>
      </c>
      <c r="F43" s="89">
        <v>37.299999999999997</v>
      </c>
      <c r="G43" s="89">
        <v>57.4</v>
      </c>
      <c r="H43" s="90">
        <v>0</v>
      </c>
      <c r="I43" s="90">
        <v>1</v>
      </c>
      <c r="J43" s="90">
        <v>0</v>
      </c>
      <c r="K43" s="91">
        <v>0</v>
      </c>
    </row>
    <row r="44" spans="1:11" x14ac:dyDescent="0.25">
      <c r="A44" s="78" t="s">
        <v>303</v>
      </c>
      <c r="B44" s="89">
        <v>25.4</v>
      </c>
      <c r="C44" s="89">
        <v>21.8</v>
      </c>
      <c r="D44" s="79">
        <v>1696</v>
      </c>
      <c r="E44" s="89">
        <v>93.8</v>
      </c>
      <c r="F44" s="89">
        <v>33.200000000000003</v>
      </c>
      <c r="G44" s="89">
        <v>58.2</v>
      </c>
      <c r="H44" s="90">
        <v>0</v>
      </c>
      <c r="I44" s="90">
        <v>0</v>
      </c>
      <c r="J44" s="90">
        <v>1</v>
      </c>
      <c r="K44" s="91">
        <v>0</v>
      </c>
    </row>
    <row r="45" spans="1:11" x14ac:dyDescent="0.25">
      <c r="A45" s="78" t="s">
        <v>305</v>
      </c>
      <c r="B45" s="89">
        <v>29.8</v>
      </c>
      <c r="C45" s="89">
        <v>7.3</v>
      </c>
      <c r="D45" s="79">
        <v>1319</v>
      </c>
      <c r="E45" s="89">
        <v>94.8</v>
      </c>
      <c r="F45" s="89">
        <v>28.5</v>
      </c>
      <c r="G45" s="89">
        <v>62.7</v>
      </c>
      <c r="H45" s="90">
        <v>0</v>
      </c>
      <c r="I45" s="90">
        <v>0</v>
      </c>
      <c r="J45" s="90">
        <v>1</v>
      </c>
      <c r="K45" s="91">
        <v>0</v>
      </c>
    </row>
    <row r="46" spans="1:11" x14ac:dyDescent="0.25">
      <c r="A46" s="78" t="s">
        <v>307</v>
      </c>
      <c r="B46" s="89">
        <v>34.4</v>
      </c>
      <c r="C46" s="89">
        <v>10</v>
      </c>
      <c r="D46" s="79">
        <v>1948</v>
      </c>
      <c r="E46" s="89">
        <v>73.7</v>
      </c>
      <c r="F46" s="89">
        <v>40.700000000000003</v>
      </c>
      <c r="G46" s="89">
        <v>65.8</v>
      </c>
      <c r="H46" s="90">
        <v>1</v>
      </c>
      <c r="I46" s="90">
        <v>0</v>
      </c>
      <c r="J46" s="90">
        <v>0</v>
      </c>
      <c r="K46" s="91">
        <v>0</v>
      </c>
    </row>
    <row r="47" spans="1:11" x14ac:dyDescent="0.25">
      <c r="A47" s="78" t="s">
        <v>309</v>
      </c>
      <c r="B47" s="89">
        <v>30.7</v>
      </c>
      <c r="C47" s="89">
        <v>13.9</v>
      </c>
      <c r="D47" s="79">
        <v>1631</v>
      </c>
      <c r="E47" s="89">
        <v>89.1</v>
      </c>
      <c r="F47" s="89">
        <v>37.200000000000003</v>
      </c>
      <c r="G47" s="89">
        <v>60.8</v>
      </c>
      <c r="H47" s="90">
        <v>0</v>
      </c>
      <c r="I47" s="90">
        <v>1</v>
      </c>
      <c r="J47" s="90">
        <v>0</v>
      </c>
      <c r="K47" s="91">
        <v>0</v>
      </c>
    </row>
    <row r="48" spans="1:11" x14ac:dyDescent="0.25">
      <c r="A48" s="78" t="s">
        <v>311</v>
      </c>
      <c r="B48" s="89">
        <v>30.9</v>
      </c>
      <c r="C48" s="89">
        <v>8.5</v>
      </c>
      <c r="D48" s="79">
        <v>1561</v>
      </c>
      <c r="E48" s="89">
        <v>96.4</v>
      </c>
      <c r="F48" s="89">
        <v>36.700000000000003</v>
      </c>
      <c r="G48" s="89">
        <v>61.2</v>
      </c>
      <c r="H48" s="90">
        <v>0</v>
      </c>
      <c r="I48" s="90">
        <v>0</v>
      </c>
      <c r="J48" s="90">
        <v>1</v>
      </c>
      <c r="K48" s="91">
        <v>0</v>
      </c>
    </row>
    <row r="49" spans="1:11" x14ac:dyDescent="0.25">
      <c r="A49" s="78" t="s">
        <v>313</v>
      </c>
      <c r="B49" s="89">
        <v>15.1</v>
      </c>
      <c r="C49" s="89">
        <v>17.600000000000001</v>
      </c>
      <c r="D49" s="79">
        <v>1538</v>
      </c>
      <c r="E49" s="89">
        <v>75</v>
      </c>
      <c r="F49" s="89">
        <v>40.700000000000003</v>
      </c>
      <c r="G49" s="89">
        <v>49.1</v>
      </c>
      <c r="H49" s="90">
        <v>0</v>
      </c>
      <c r="I49" s="90">
        <v>1</v>
      </c>
      <c r="J49" s="90">
        <v>0</v>
      </c>
      <c r="K49" s="91">
        <v>0</v>
      </c>
    </row>
    <row r="50" spans="1:11" x14ac:dyDescent="0.25">
      <c r="A50" s="78" t="s">
        <v>315</v>
      </c>
      <c r="B50" s="89">
        <v>25.1</v>
      </c>
      <c r="C50" s="89">
        <v>9.5</v>
      </c>
      <c r="D50" s="79">
        <v>1792</v>
      </c>
      <c r="E50" s="89">
        <v>85.9</v>
      </c>
      <c r="F50" s="89">
        <v>37.9</v>
      </c>
      <c r="G50" s="89">
        <v>66.599999999999994</v>
      </c>
      <c r="H50" s="90">
        <v>0</v>
      </c>
      <c r="I50" s="90">
        <v>0</v>
      </c>
      <c r="J50" s="90">
        <v>0</v>
      </c>
      <c r="K50" s="91">
        <v>1</v>
      </c>
    </row>
    <row r="51" spans="1:11" x14ac:dyDescent="0.25">
      <c r="A51" s="82" t="s">
        <v>317</v>
      </c>
      <c r="B51" s="92">
        <v>22</v>
      </c>
      <c r="C51" s="92">
        <v>9.1</v>
      </c>
      <c r="D51" s="83">
        <v>1896</v>
      </c>
      <c r="E51" s="92">
        <v>71.5</v>
      </c>
      <c r="F51" s="92">
        <v>39.1</v>
      </c>
      <c r="G51" s="92">
        <v>65.3</v>
      </c>
      <c r="H51" s="93">
        <v>0</v>
      </c>
      <c r="I51" s="93">
        <v>0</v>
      </c>
      <c r="J51" s="93">
        <v>1</v>
      </c>
      <c r="K51" s="9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FD22-5499-4462-9AF7-A95A9C888A14}">
  <dimension ref="A1:H56"/>
  <sheetViews>
    <sheetView workbookViewId="0">
      <selection activeCell="H2" sqref="H2:H6"/>
    </sheetView>
  </sheetViews>
  <sheetFormatPr defaultRowHeight="15" x14ac:dyDescent="0.25"/>
  <sheetData>
    <row r="1" spans="1:8" x14ac:dyDescent="0.25">
      <c r="A1" s="1" t="s">
        <v>0</v>
      </c>
      <c r="B1" s="19" t="s">
        <v>411</v>
      </c>
      <c r="C1" s="2" t="s">
        <v>412</v>
      </c>
      <c r="D1" s="2" t="s">
        <v>413</v>
      </c>
      <c r="E1" s="2" t="s">
        <v>414</v>
      </c>
      <c r="F1" s="2" t="s">
        <v>415</v>
      </c>
      <c r="G1" s="3" t="s">
        <v>416</v>
      </c>
      <c r="H1" s="18" t="s">
        <v>189</v>
      </c>
    </row>
    <row r="2" spans="1:8" x14ac:dyDescent="0.25">
      <c r="A2" s="4">
        <v>1</v>
      </c>
      <c r="B2" s="96" t="s">
        <v>417</v>
      </c>
      <c r="C2" s="6">
        <v>148</v>
      </c>
      <c r="D2" s="6">
        <v>1981</v>
      </c>
      <c r="E2" s="6">
        <v>310</v>
      </c>
      <c r="F2" s="6">
        <v>3</v>
      </c>
      <c r="G2" s="20">
        <v>1</v>
      </c>
      <c r="H2" s="23" t="s">
        <v>470</v>
      </c>
    </row>
    <row r="3" spans="1:8" x14ac:dyDescent="0.25">
      <c r="A3" s="8">
        <v>2</v>
      </c>
      <c r="B3" s="97" t="s">
        <v>418</v>
      </c>
      <c r="C3" s="10">
        <v>194</v>
      </c>
      <c r="D3" s="10">
        <v>1975</v>
      </c>
      <c r="E3" s="10">
        <v>570</v>
      </c>
      <c r="F3" s="10">
        <v>3</v>
      </c>
      <c r="G3" s="21">
        <v>0</v>
      </c>
      <c r="H3" s="23" t="s">
        <v>471</v>
      </c>
    </row>
    <row r="4" spans="1:8" x14ac:dyDescent="0.25">
      <c r="A4" s="8">
        <v>3</v>
      </c>
      <c r="B4" s="97" t="s">
        <v>419</v>
      </c>
      <c r="C4" s="10">
        <v>107</v>
      </c>
      <c r="D4" s="10">
        <v>1951</v>
      </c>
      <c r="E4" s="10">
        <v>125</v>
      </c>
      <c r="F4" s="10">
        <v>2</v>
      </c>
      <c r="G4" s="21">
        <v>0</v>
      </c>
      <c r="H4" s="23" t="s">
        <v>472</v>
      </c>
    </row>
    <row r="5" spans="1:8" x14ac:dyDescent="0.25">
      <c r="A5" s="8">
        <v>4</v>
      </c>
      <c r="B5" s="97" t="s">
        <v>420</v>
      </c>
      <c r="C5" s="10">
        <v>115</v>
      </c>
      <c r="D5" s="10">
        <v>1996</v>
      </c>
      <c r="E5" s="10">
        <v>180</v>
      </c>
      <c r="F5" s="10">
        <v>2</v>
      </c>
      <c r="G5" s="21">
        <v>0</v>
      </c>
      <c r="H5" s="23" t="s">
        <v>473</v>
      </c>
    </row>
    <row r="6" spans="1:8" x14ac:dyDescent="0.25">
      <c r="A6" s="8">
        <v>5</v>
      </c>
      <c r="B6" s="97" t="s">
        <v>421</v>
      </c>
      <c r="C6" s="10">
        <v>186</v>
      </c>
      <c r="D6" s="10">
        <v>1982</v>
      </c>
      <c r="E6" s="10">
        <v>285</v>
      </c>
      <c r="F6" s="10">
        <v>3</v>
      </c>
      <c r="G6" s="21">
        <v>0</v>
      </c>
      <c r="H6" s="23" t="s">
        <v>474</v>
      </c>
    </row>
    <row r="7" spans="1:8" x14ac:dyDescent="0.25">
      <c r="A7" s="8">
        <v>6</v>
      </c>
      <c r="B7" s="97" t="s">
        <v>422</v>
      </c>
      <c r="C7" s="10">
        <v>147</v>
      </c>
      <c r="D7" s="10">
        <v>1979</v>
      </c>
      <c r="E7" s="10">
        <v>235</v>
      </c>
      <c r="F7" s="10">
        <v>2</v>
      </c>
      <c r="G7" s="21">
        <v>0</v>
      </c>
    </row>
    <row r="8" spans="1:8" x14ac:dyDescent="0.25">
      <c r="A8" s="8">
        <v>7</v>
      </c>
      <c r="B8" s="97" t="s">
        <v>423</v>
      </c>
      <c r="C8" s="10">
        <v>140</v>
      </c>
      <c r="D8" s="10">
        <v>1997</v>
      </c>
      <c r="E8" s="10">
        <v>230</v>
      </c>
      <c r="F8" s="10">
        <v>3</v>
      </c>
      <c r="G8" s="21">
        <v>0</v>
      </c>
    </row>
    <row r="9" spans="1:8" x14ac:dyDescent="0.25">
      <c r="A9" s="8">
        <v>8</v>
      </c>
      <c r="B9" s="97" t="s">
        <v>424</v>
      </c>
      <c r="C9" s="10">
        <v>234</v>
      </c>
      <c r="D9" s="10">
        <v>1974</v>
      </c>
      <c r="E9" s="10">
        <v>750</v>
      </c>
      <c r="F9" s="10">
        <v>3</v>
      </c>
      <c r="G9" s="21">
        <v>0</v>
      </c>
    </row>
    <row r="10" spans="1:8" x14ac:dyDescent="0.25">
      <c r="A10" s="8">
        <v>9</v>
      </c>
      <c r="B10" s="97" t="s">
        <v>425</v>
      </c>
      <c r="C10" s="10">
        <v>190</v>
      </c>
      <c r="D10" s="10">
        <v>1970</v>
      </c>
      <c r="E10" s="10">
        <v>285</v>
      </c>
      <c r="F10" s="10">
        <v>3</v>
      </c>
      <c r="G10" s="21">
        <v>1</v>
      </c>
    </row>
    <row r="11" spans="1:8" x14ac:dyDescent="0.25">
      <c r="A11" s="8">
        <v>10</v>
      </c>
      <c r="B11" s="97" t="s">
        <v>426</v>
      </c>
      <c r="C11" s="10">
        <v>100</v>
      </c>
      <c r="D11" s="10">
        <v>1975</v>
      </c>
      <c r="E11" s="10">
        <v>150</v>
      </c>
      <c r="F11" s="10">
        <v>2</v>
      </c>
      <c r="G11" s="21">
        <v>0</v>
      </c>
    </row>
    <row r="12" spans="1:8" x14ac:dyDescent="0.25">
      <c r="A12" s="8">
        <v>11</v>
      </c>
      <c r="B12" s="97" t="s">
        <v>427</v>
      </c>
      <c r="C12" s="10">
        <v>170</v>
      </c>
      <c r="D12" s="10">
        <v>1975</v>
      </c>
      <c r="E12" s="10">
        <v>420</v>
      </c>
      <c r="F12" s="10">
        <v>2</v>
      </c>
      <c r="G12" s="21">
        <v>0</v>
      </c>
    </row>
    <row r="13" spans="1:8" x14ac:dyDescent="0.25">
      <c r="A13" s="8">
        <v>12</v>
      </c>
      <c r="B13" s="97" t="s">
        <v>428</v>
      </c>
      <c r="C13" s="10">
        <v>174</v>
      </c>
      <c r="D13" s="10">
        <v>1997</v>
      </c>
      <c r="E13" s="10">
        <v>440</v>
      </c>
      <c r="F13" s="10">
        <v>2</v>
      </c>
      <c r="G13" s="21">
        <v>0</v>
      </c>
    </row>
    <row r="14" spans="1:8" x14ac:dyDescent="0.25">
      <c r="A14" s="8">
        <v>13</v>
      </c>
      <c r="B14" s="97" t="s">
        <v>429</v>
      </c>
      <c r="C14" s="10">
        <v>156</v>
      </c>
      <c r="D14" s="10">
        <v>1965</v>
      </c>
      <c r="E14" s="10">
        <v>200</v>
      </c>
      <c r="F14" s="10">
        <v>2</v>
      </c>
      <c r="G14" s="21">
        <v>0</v>
      </c>
    </row>
    <row r="15" spans="1:8" x14ac:dyDescent="0.25">
      <c r="A15" s="8">
        <v>14</v>
      </c>
      <c r="B15" s="97" t="s">
        <v>430</v>
      </c>
      <c r="C15" s="10">
        <v>241</v>
      </c>
      <c r="D15" s="10">
        <v>1984</v>
      </c>
      <c r="E15" s="10">
        <v>650</v>
      </c>
      <c r="F15" s="10">
        <v>3</v>
      </c>
      <c r="G15" s="21">
        <v>0</v>
      </c>
    </row>
    <row r="16" spans="1:8" x14ac:dyDescent="0.25">
      <c r="A16" s="8">
        <v>15</v>
      </c>
      <c r="B16" s="97" t="s">
        <v>431</v>
      </c>
      <c r="C16" s="10">
        <v>129</v>
      </c>
      <c r="D16" s="10">
        <v>1997</v>
      </c>
      <c r="E16" s="10">
        <v>180</v>
      </c>
      <c r="F16" s="10">
        <v>2</v>
      </c>
      <c r="G16" s="21">
        <v>0</v>
      </c>
    </row>
    <row r="17" spans="1:7" x14ac:dyDescent="0.25">
      <c r="A17" s="8">
        <v>16</v>
      </c>
      <c r="B17" s="97" t="s">
        <v>432</v>
      </c>
      <c r="C17" s="10">
        <v>122</v>
      </c>
      <c r="D17" s="10">
        <v>1997</v>
      </c>
      <c r="E17" s="10">
        <v>160</v>
      </c>
      <c r="F17" s="10">
        <v>2</v>
      </c>
      <c r="G17" s="21">
        <v>0</v>
      </c>
    </row>
    <row r="18" spans="1:7" x14ac:dyDescent="0.25">
      <c r="A18" s="8">
        <v>17</v>
      </c>
      <c r="B18" s="97" t="s">
        <v>433</v>
      </c>
      <c r="C18" s="10">
        <v>190</v>
      </c>
      <c r="D18" s="10">
        <v>1983</v>
      </c>
      <c r="E18" s="10">
        <v>500</v>
      </c>
      <c r="F18" s="10">
        <v>3</v>
      </c>
      <c r="G18" s="21">
        <v>1</v>
      </c>
    </row>
    <row r="19" spans="1:7" x14ac:dyDescent="0.25">
      <c r="A19" s="8">
        <v>18</v>
      </c>
      <c r="B19" s="97" t="s">
        <v>434</v>
      </c>
      <c r="C19" s="10">
        <v>180</v>
      </c>
      <c r="D19" s="10">
        <v>1982</v>
      </c>
      <c r="E19" s="10">
        <v>440</v>
      </c>
      <c r="F19" s="10">
        <v>3</v>
      </c>
      <c r="G19" s="21">
        <v>1</v>
      </c>
    </row>
    <row r="20" spans="1:7" x14ac:dyDescent="0.25">
      <c r="A20" s="8">
        <v>19</v>
      </c>
      <c r="B20" s="97" t="s">
        <v>435</v>
      </c>
      <c r="C20" s="10">
        <v>186</v>
      </c>
      <c r="D20" s="10">
        <v>1998</v>
      </c>
      <c r="E20" s="10">
        <v>300</v>
      </c>
      <c r="F20" s="10">
        <v>3</v>
      </c>
      <c r="G20" s="21">
        <v>1</v>
      </c>
    </row>
    <row r="21" spans="1:7" x14ac:dyDescent="0.25">
      <c r="A21" s="8">
        <v>20</v>
      </c>
      <c r="B21" s="97" t="s">
        <v>436</v>
      </c>
      <c r="C21" s="10">
        <v>159</v>
      </c>
      <c r="D21" s="10">
        <v>1979</v>
      </c>
      <c r="E21" s="10">
        <v>235</v>
      </c>
      <c r="F21" s="10">
        <v>2</v>
      </c>
      <c r="G21" s="21">
        <v>1</v>
      </c>
    </row>
    <row r="22" spans="1:7" x14ac:dyDescent="0.25">
      <c r="A22" s="8">
        <v>21</v>
      </c>
      <c r="B22" s="97" t="s">
        <v>437</v>
      </c>
      <c r="C22" s="10">
        <v>170</v>
      </c>
      <c r="D22" s="10">
        <v>1982</v>
      </c>
      <c r="E22" s="10">
        <v>210</v>
      </c>
      <c r="F22" s="10">
        <v>2</v>
      </c>
      <c r="G22" s="21">
        <v>1</v>
      </c>
    </row>
    <row r="23" spans="1:7" x14ac:dyDescent="0.25">
      <c r="A23" s="8">
        <v>22</v>
      </c>
      <c r="B23" s="97" t="s">
        <v>438</v>
      </c>
      <c r="C23" s="10">
        <v>141</v>
      </c>
      <c r="D23" s="10">
        <v>1972</v>
      </c>
      <c r="E23" s="10">
        <v>360</v>
      </c>
      <c r="F23" s="10">
        <v>2</v>
      </c>
      <c r="G23" s="21">
        <v>0</v>
      </c>
    </row>
    <row r="24" spans="1:7" x14ac:dyDescent="0.25">
      <c r="A24" s="8">
        <v>23</v>
      </c>
      <c r="B24" s="97" t="s">
        <v>439</v>
      </c>
      <c r="C24" s="10">
        <v>213</v>
      </c>
      <c r="D24" s="10">
        <v>1998</v>
      </c>
      <c r="E24" s="10">
        <v>350</v>
      </c>
      <c r="F24" s="10">
        <v>3</v>
      </c>
      <c r="G24" s="21">
        <v>0</v>
      </c>
    </row>
    <row r="25" spans="1:7" x14ac:dyDescent="0.25">
      <c r="A25" s="8">
        <v>24</v>
      </c>
      <c r="B25" s="97" t="s">
        <v>440</v>
      </c>
      <c r="C25" s="10">
        <v>191</v>
      </c>
      <c r="D25" s="10">
        <v>1998</v>
      </c>
      <c r="E25" s="10">
        <v>310</v>
      </c>
      <c r="F25" s="10">
        <v>3</v>
      </c>
      <c r="G25" s="21">
        <v>0</v>
      </c>
    </row>
    <row r="26" spans="1:7" x14ac:dyDescent="0.25">
      <c r="A26" s="8">
        <v>25</v>
      </c>
      <c r="B26" s="97" t="s">
        <v>441</v>
      </c>
      <c r="C26" s="10">
        <v>161</v>
      </c>
      <c r="D26" s="10">
        <v>1973</v>
      </c>
      <c r="E26" s="10">
        <v>300</v>
      </c>
      <c r="F26" s="10">
        <v>2</v>
      </c>
      <c r="G26" s="21">
        <v>0</v>
      </c>
    </row>
    <row r="27" spans="1:7" x14ac:dyDescent="0.25">
      <c r="A27" s="8">
        <v>26</v>
      </c>
      <c r="B27" s="97" t="s">
        <v>442</v>
      </c>
      <c r="C27" s="10">
        <v>129</v>
      </c>
      <c r="D27" s="10">
        <v>1982</v>
      </c>
      <c r="E27" s="10">
        <v>180</v>
      </c>
      <c r="F27" s="10">
        <v>2</v>
      </c>
      <c r="G27" s="21">
        <v>0</v>
      </c>
    </row>
    <row r="28" spans="1:7" x14ac:dyDescent="0.25">
      <c r="A28" s="8">
        <v>27</v>
      </c>
      <c r="B28" s="97" t="s">
        <v>443</v>
      </c>
      <c r="C28" s="10">
        <v>164</v>
      </c>
      <c r="D28" s="10">
        <v>1982</v>
      </c>
      <c r="E28" s="10">
        <v>360</v>
      </c>
      <c r="F28" s="10">
        <v>2</v>
      </c>
      <c r="G28" s="21">
        <v>0</v>
      </c>
    </row>
    <row r="29" spans="1:7" x14ac:dyDescent="0.25">
      <c r="A29" s="8">
        <v>28</v>
      </c>
      <c r="B29" s="97" t="s">
        <v>444</v>
      </c>
      <c r="C29" s="10">
        <v>191</v>
      </c>
      <c r="D29" s="10">
        <v>1980</v>
      </c>
      <c r="E29" s="10">
        <v>500</v>
      </c>
      <c r="F29" s="10">
        <v>2</v>
      </c>
      <c r="G29" s="21">
        <v>0</v>
      </c>
    </row>
    <row r="30" spans="1:7" x14ac:dyDescent="0.25">
      <c r="A30" s="8">
        <v>29</v>
      </c>
      <c r="B30" s="97" t="s">
        <v>445</v>
      </c>
      <c r="C30" s="10">
        <v>124</v>
      </c>
      <c r="D30" s="10">
        <v>1970</v>
      </c>
      <c r="E30" s="10">
        <v>180</v>
      </c>
      <c r="F30" s="10">
        <v>2</v>
      </c>
      <c r="G30" s="21">
        <v>0</v>
      </c>
    </row>
    <row r="31" spans="1:7" x14ac:dyDescent="0.25">
      <c r="A31" s="8">
        <v>30</v>
      </c>
      <c r="B31" s="97" t="s">
        <v>446</v>
      </c>
      <c r="C31" s="10">
        <v>199</v>
      </c>
      <c r="D31" s="10">
        <v>1968</v>
      </c>
      <c r="E31" s="10">
        <v>570</v>
      </c>
      <c r="F31" s="10">
        <v>2</v>
      </c>
      <c r="G31" s="21">
        <v>0</v>
      </c>
    </row>
    <row r="32" spans="1:7" x14ac:dyDescent="0.25">
      <c r="A32" s="8">
        <v>31</v>
      </c>
      <c r="B32" s="97" t="s">
        <v>447</v>
      </c>
      <c r="C32" s="10">
        <v>98</v>
      </c>
      <c r="D32" s="10">
        <v>1998</v>
      </c>
      <c r="E32" s="10">
        <v>81</v>
      </c>
      <c r="F32" s="10">
        <v>1</v>
      </c>
      <c r="G32" s="21">
        <v>0</v>
      </c>
    </row>
    <row r="33" spans="1:7" x14ac:dyDescent="0.25">
      <c r="A33" s="8">
        <v>32</v>
      </c>
      <c r="B33" s="97" t="s">
        <v>448</v>
      </c>
      <c r="C33" s="10">
        <v>223</v>
      </c>
      <c r="D33" s="10">
        <v>1985</v>
      </c>
      <c r="E33" s="10">
        <v>620</v>
      </c>
      <c r="F33" s="10">
        <v>3</v>
      </c>
      <c r="G33" s="21">
        <v>0</v>
      </c>
    </row>
    <row r="34" spans="1:7" x14ac:dyDescent="0.25">
      <c r="A34" s="8">
        <v>33</v>
      </c>
      <c r="B34" s="97" t="s">
        <v>449</v>
      </c>
      <c r="C34" s="10">
        <v>143</v>
      </c>
      <c r="D34" s="10">
        <v>1998</v>
      </c>
      <c r="E34" s="10">
        <v>300</v>
      </c>
      <c r="F34" s="10">
        <v>3</v>
      </c>
      <c r="G34" s="21">
        <v>0</v>
      </c>
    </row>
    <row r="35" spans="1:7" x14ac:dyDescent="0.25">
      <c r="A35" s="8">
        <v>34</v>
      </c>
      <c r="B35" s="97" t="s">
        <v>450</v>
      </c>
      <c r="C35" s="10">
        <v>160</v>
      </c>
      <c r="D35" s="10">
        <v>1999</v>
      </c>
      <c r="E35" s="10">
        <v>200</v>
      </c>
      <c r="F35" s="10">
        <v>3</v>
      </c>
      <c r="G35" s="21">
        <v>0</v>
      </c>
    </row>
    <row r="36" spans="1:7" x14ac:dyDescent="0.25">
      <c r="A36" s="8">
        <v>35</v>
      </c>
      <c r="B36" s="97" t="s">
        <v>451</v>
      </c>
      <c r="C36" s="10">
        <v>107</v>
      </c>
      <c r="D36" s="10">
        <v>1978</v>
      </c>
      <c r="E36" s="10">
        <v>110</v>
      </c>
      <c r="F36" s="10">
        <v>2</v>
      </c>
      <c r="G36" s="21">
        <v>0</v>
      </c>
    </row>
    <row r="37" spans="1:7" x14ac:dyDescent="0.25">
      <c r="A37" s="8">
        <v>36</v>
      </c>
      <c r="B37" s="97" t="s">
        <v>452</v>
      </c>
      <c r="C37" s="10">
        <v>175</v>
      </c>
      <c r="D37" s="10">
        <v>1999</v>
      </c>
      <c r="E37" s="10">
        <v>244</v>
      </c>
      <c r="F37" s="10">
        <v>2</v>
      </c>
      <c r="G37" s="21">
        <v>0</v>
      </c>
    </row>
    <row r="38" spans="1:7" x14ac:dyDescent="0.25">
      <c r="A38" s="8">
        <v>37</v>
      </c>
      <c r="B38" s="97" t="s">
        <v>453</v>
      </c>
      <c r="C38" s="10">
        <v>163</v>
      </c>
      <c r="D38" s="10">
        <v>1999</v>
      </c>
      <c r="E38" s="10">
        <v>250</v>
      </c>
      <c r="F38" s="10">
        <v>2</v>
      </c>
      <c r="G38" s="21">
        <v>0</v>
      </c>
    </row>
    <row r="39" spans="1:7" x14ac:dyDescent="0.25">
      <c r="A39" s="8">
        <v>38</v>
      </c>
      <c r="B39" s="97" t="s">
        <v>454</v>
      </c>
      <c r="C39" s="10">
        <v>151</v>
      </c>
      <c r="D39" s="10">
        <v>1976</v>
      </c>
      <c r="E39" s="10">
        <v>260</v>
      </c>
      <c r="F39" s="10">
        <v>2</v>
      </c>
      <c r="G39" s="21">
        <v>0</v>
      </c>
    </row>
    <row r="40" spans="1:7" x14ac:dyDescent="0.25">
      <c r="A40" s="8">
        <v>39</v>
      </c>
      <c r="B40" s="97" t="s">
        <v>439</v>
      </c>
      <c r="C40" s="10">
        <v>215</v>
      </c>
      <c r="D40" s="10">
        <v>1989</v>
      </c>
      <c r="E40" s="10">
        <v>350</v>
      </c>
      <c r="F40" s="10">
        <v>2</v>
      </c>
      <c r="G40" s="21">
        <v>1</v>
      </c>
    </row>
    <row r="41" spans="1:7" x14ac:dyDescent="0.25">
      <c r="A41" s="8">
        <v>40</v>
      </c>
      <c r="B41" s="97" t="s">
        <v>455</v>
      </c>
      <c r="C41" s="10">
        <v>176</v>
      </c>
      <c r="D41" s="10">
        <v>1979</v>
      </c>
      <c r="E41" s="10">
        <v>300</v>
      </c>
      <c r="F41" s="10">
        <v>2</v>
      </c>
      <c r="G41" s="21">
        <v>1</v>
      </c>
    </row>
    <row r="42" spans="1:7" x14ac:dyDescent="0.25">
      <c r="A42" s="8">
        <v>41</v>
      </c>
      <c r="B42" s="97" t="s">
        <v>456</v>
      </c>
      <c r="C42" s="10">
        <v>144</v>
      </c>
      <c r="D42" s="10">
        <v>1977</v>
      </c>
      <c r="E42" s="10">
        <v>230</v>
      </c>
      <c r="F42" s="10">
        <v>2</v>
      </c>
      <c r="G42" s="21">
        <v>0</v>
      </c>
    </row>
    <row r="43" spans="1:7" x14ac:dyDescent="0.25">
      <c r="A43" s="8">
        <v>42</v>
      </c>
      <c r="B43" s="97" t="s">
        <v>457</v>
      </c>
      <c r="C43" s="10">
        <v>200</v>
      </c>
      <c r="D43" s="10">
        <v>1984</v>
      </c>
      <c r="E43" s="10">
        <v>600</v>
      </c>
      <c r="F43" s="10">
        <v>3</v>
      </c>
      <c r="G43" s="21">
        <v>0</v>
      </c>
    </row>
    <row r="44" spans="1:7" x14ac:dyDescent="0.25">
      <c r="A44" s="8">
        <v>43</v>
      </c>
      <c r="B44" s="97" t="s">
        <v>458</v>
      </c>
      <c r="C44" s="10">
        <v>104</v>
      </c>
      <c r="D44" s="10">
        <v>1953</v>
      </c>
      <c r="E44" s="10">
        <v>145</v>
      </c>
      <c r="F44" s="10">
        <v>2</v>
      </c>
      <c r="G44" s="21">
        <v>0</v>
      </c>
    </row>
    <row r="45" spans="1:7" x14ac:dyDescent="0.25">
      <c r="A45" s="8">
        <v>44</v>
      </c>
      <c r="B45" s="97" t="s">
        <v>459</v>
      </c>
      <c r="C45" s="10">
        <v>174</v>
      </c>
      <c r="D45" s="10">
        <v>1982</v>
      </c>
      <c r="E45" s="10">
        <v>300</v>
      </c>
      <c r="F45" s="10">
        <v>3</v>
      </c>
      <c r="G45" s="21">
        <v>1</v>
      </c>
    </row>
    <row r="46" spans="1:7" x14ac:dyDescent="0.25">
      <c r="A46" s="8">
        <v>45</v>
      </c>
      <c r="B46" s="97" t="s">
        <v>460</v>
      </c>
      <c r="C46" s="10">
        <v>188</v>
      </c>
      <c r="D46" s="10">
        <v>2000</v>
      </c>
      <c r="E46" s="10">
        <v>280</v>
      </c>
      <c r="F46" s="10">
        <v>2</v>
      </c>
      <c r="G46" s="21">
        <v>0</v>
      </c>
    </row>
    <row r="47" spans="1:7" x14ac:dyDescent="0.25">
      <c r="A47" s="8">
        <v>46</v>
      </c>
      <c r="B47" s="97" t="s">
        <v>461</v>
      </c>
      <c r="C47" s="10">
        <v>235</v>
      </c>
      <c r="D47" s="10">
        <v>2000</v>
      </c>
      <c r="E47" s="10">
        <v>350</v>
      </c>
      <c r="F47" s="10">
        <v>4</v>
      </c>
      <c r="G47" s="21">
        <v>1</v>
      </c>
    </row>
    <row r="48" spans="1:7" x14ac:dyDescent="0.25">
      <c r="A48" s="8">
        <v>47</v>
      </c>
      <c r="B48" s="97" t="s">
        <v>462</v>
      </c>
      <c r="C48" s="10">
        <v>100</v>
      </c>
      <c r="D48" s="10">
        <v>2000</v>
      </c>
      <c r="E48" s="10">
        <v>116</v>
      </c>
      <c r="F48" s="10">
        <v>2</v>
      </c>
      <c r="G48" s="21">
        <v>0</v>
      </c>
    </row>
    <row r="49" spans="1:7" x14ac:dyDescent="0.25">
      <c r="A49" s="8">
        <v>48</v>
      </c>
      <c r="B49" s="97" t="s">
        <v>463</v>
      </c>
      <c r="C49" s="10">
        <v>148</v>
      </c>
      <c r="D49" s="10">
        <v>1980</v>
      </c>
      <c r="E49" s="10">
        <v>300</v>
      </c>
      <c r="F49" s="10">
        <v>2</v>
      </c>
      <c r="G49" s="21">
        <v>0</v>
      </c>
    </row>
    <row r="50" spans="1:7" x14ac:dyDescent="0.25">
      <c r="A50" s="8">
        <v>49</v>
      </c>
      <c r="B50" s="97" t="s">
        <v>464</v>
      </c>
      <c r="C50" s="10">
        <v>160</v>
      </c>
      <c r="D50" s="10">
        <v>2001</v>
      </c>
      <c r="E50" s="10">
        <v>235</v>
      </c>
      <c r="F50" s="10">
        <v>3</v>
      </c>
      <c r="G50" s="21">
        <v>1</v>
      </c>
    </row>
    <row r="51" spans="1:7" x14ac:dyDescent="0.25">
      <c r="A51" s="8">
        <v>50</v>
      </c>
      <c r="B51" s="97" t="s">
        <v>428</v>
      </c>
      <c r="C51" s="10">
        <v>186</v>
      </c>
      <c r="D51" s="10">
        <v>2002</v>
      </c>
      <c r="E51" s="10">
        <v>440</v>
      </c>
      <c r="F51" s="10">
        <v>3</v>
      </c>
      <c r="G51" s="21">
        <v>1</v>
      </c>
    </row>
    <row r="52" spans="1:7" x14ac:dyDescent="0.25">
      <c r="A52" s="8">
        <v>51</v>
      </c>
      <c r="B52" s="97" t="s">
        <v>465</v>
      </c>
      <c r="C52" s="10">
        <v>143</v>
      </c>
      <c r="D52" s="10">
        <v>2002</v>
      </c>
      <c r="E52" s="10">
        <v>180</v>
      </c>
      <c r="F52" s="10">
        <v>2</v>
      </c>
      <c r="G52" s="21">
        <v>0</v>
      </c>
    </row>
    <row r="53" spans="1:7" x14ac:dyDescent="0.25">
      <c r="A53" s="8">
        <v>52</v>
      </c>
      <c r="B53" s="97" t="s">
        <v>466</v>
      </c>
      <c r="C53" s="10">
        <v>140</v>
      </c>
      <c r="D53" s="10">
        <v>2002</v>
      </c>
      <c r="E53" s="10">
        <v>125</v>
      </c>
      <c r="F53" s="10">
        <v>2</v>
      </c>
      <c r="G53" s="21">
        <v>0</v>
      </c>
    </row>
    <row r="54" spans="1:7" x14ac:dyDescent="0.25">
      <c r="A54" s="8">
        <v>53</v>
      </c>
      <c r="B54" s="97" t="s">
        <v>467</v>
      </c>
      <c r="C54" s="10">
        <v>128</v>
      </c>
      <c r="D54" s="10">
        <v>2002</v>
      </c>
      <c r="E54" s="10">
        <v>160</v>
      </c>
      <c r="F54" s="10">
        <v>2</v>
      </c>
      <c r="G54" s="21">
        <v>0</v>
      </c>
    </row>
    <row r="55" spans="1:7" x14ac:dyDescent="0.25">
      <c r="A55" s="8">
        <v>54</v>
      </c>
      <c r="B55" s="97" t="s">
        <v>468</v>
      </c>
      <c r="C55" s="10">
        <v>132</v>
      </c>
      <c r="D55" s="10">
        <v>2003</v>
      </c>
      <c r="E55" s="10">
        <v>125</v>
      </c>
      <c r="F55" s="10">
        <v>2</v>
      </c>
      <c r="G55" s="21">
        <v>0</v>
      </c>
    </row>
    <row r="56" spans="1:7" x14ac:dyDescent="0.25">
      <c r="A56" s="12">
        <v>55</v>
      </c>
      <c r="B56" s="98" t="s">
        <v>469</v>
      </c>
      <c r="C56" s="14">
        <v>148</v>
      </c>
      <c r="D56" s="14">
        <v>2004</v>
      </c>
      <c r="E56" s="14">
        <v>300</v>
      </c>
      <c r="F56" s="14">
        <v>3</v>
      </c>
      <c r="G56" s="2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0B02-742D-429F-9D71-080B153E23A3}">
  <dimension ref="A1:H251"/>
  <sheetViews>
    <sheetView workbookViewId="0">
      <selection activeCell="H2" sqref="H2:H7"/>
    </sheetView>
  </sheetViews>
  <sheetFormatPr defaultRowHeight="15" x14ac:dyDescent="0.25"/>
  <sheetData>
    <row r="1" spans="1:8" x14ac:dyDescent="0.25">
      <c r="A1" s="99" t="s">
        <v>0</v>
      </c>
      <c r="B1" s="99" t="s">
        <v>475</v>
      </c>
      <c r="C1" s="99" t="s">
        <v>14</v>
      </c>
      <c r="D1" s="99" t="s">
        <v>325</v>
      </c>
      <c r="E1" s="99" t="s">
        <v>476</v>
      </c>
      <c r="F1" s="99" t="s">
        <v>477</v>
      </c>
      <c r="G1" s="99" t="s">
        <v>478</v>
      </c>
      <c r="H1" s="99" t="s">
        <v>189</v>
      </c>
    </row>
    <row r="2" spans="1:8" x14ac:dyDescent="0.25">
      <c r="A2" s="100">
        <v>1</v>
      </c>
      <c r="B2" s="100">
        <v>0</v>
      </c>
      <c r="C2" s="100">
        <v>40</v>
      </c>
      <c r="D2" s="101">
        <v>170</v>
      </c>
      <c r="E2" s="101">
        <v>4</v>
      </c>
      <c r="F2" s="101">
        <v>308</v>
      </c>
      <c r="G2" s="101">
        <v>0</v>
      </c>
      <c r="H2" s="62" t="s">
        <v>479</v>
      </c>
    </row>
    <row r="3" spans="1:8" x14ac:dyDescent="0.25">
      <c r="A3" s="100">
        <v>2</v>
      </c>
      <c r="B3" s="100">
        <v>1</v>
      </c>
      <c r="C3" s="100">
        <v>61</v>
      </c>
      <c r="D3" s="101">
        <v>147</v>
      </c>
      <c r="E3" s="101">
        <v>0</v>
      </c>
      <c r="F3" s="101">
        <v>405</v>
      </c>
      <c r="G3" s="101">
        <v>0</v>
      </c>
      <c r="H3" s="62" t="s">
        <v>480</v>
      </c>
    </row>
    <row r="4" spans="1:8" x14ac:dyDescent="0.25">
      <c r="A4" s="100">
        <v>3</v>
      </c>
      <c r="B4" s="100">
        <v>0</v>
      </c>
      <c r="C4" s="100">
        <v>51</v>
      </c>
      <c r="D4" s="101">
        <v>105</v>
      </c>
      <c r="E4" s="101">
        <v>5</v>
      </c>
      <c r="F4" s="101">
        <v>350</v>
      </c>
      <c r="G4" s="101">
        <v>0</v>
      </c>
      <c r="H4" s="62" t="s">
        <v>481</v>
      </c>
    </row>
    <row r="5" spans="1:8" x14ac:dyDescent="0.25">
      <c r="A5" s="100">
        <v>4</v>
      </c>
      <c r="B5" s="100">
        <v>0</v>
      </c>
      <c r="C5" s="100">
        <v>37</v>
      </c>
      <c r="D5" s="101">
        <v>138</v>
      </c>
      <c r="E5" s="101">
        <v>5</v>
      </c>
      <c r="F5" s="101">
        <v>373</v>
      </c>
      <c r="G5" s="101">
        <v>0</v>
      </c>
      <c r="H5" s="62" t="s">
        <v>482</v>
      </c>
    </row>
    <row r="6" spans="1:8" x14ac:dyDescent="0.25">
      <c r="A6" s="100">
        <v>5</v>
      </c>
      <c r="B6" s="100">
        <v>1</v>
      </c>
      <c r="C6" s="100">
        <v>56</v>
      </c>
      <c r="D6" s="101">
        <v>309</v>
      </c>
      <c r="E6" s="101">
        <v>3</v>
      </c>
      <c r="F6" s="101">
        <v>543</v>
      </c>
      <c r="G6" s="101">
        <v>0</v>
      </c>
      <c r="H6" s="62" t="s">
        <v>483</v>
      </c>
    </row>
    <row r="7" spans="1:8" x14ac:dyDescent="0.25">
      <c r="A7" s="100">
        <v>6</v>
      </c>
      <c r="B7" s="100">
        <v>0</v>
      </c>
      <c r="C7" s="100">
        <v>64</v>
      </c>
      <c r="D7" s="101">
        <v>110</v>
      </c>
      <c r="E7" s="101">
        <v>3</v>
      </c>
      <c r="F7" s="101">
        <v>303</v>
      </c>
      <c r="G7" s="101">
        <v>1</v>
      </c>
      <c r="H7" s="62" t="s">
        <v>484</v>
      </c>
    </row>
    <row r="8" spans="1:8" x14ac:dyDescent="0.25">
      <c r="A8" s="100">
        <v>7</v>
      </c>
      <c r="B8" s="100">
        <v>1</v>
      </c>
      <c r="C8" s="100">
        <v>69</v>
      </c>
      <c r="D8" s="101">
        <v>122</v>
      </c>
      <c r="E8" s="101">
        <v>1</v>
      </c>
      <c r="F8" s="101">
        <v>351</v>
      </c>
      <c r="G8" s="101">
        <v>0</v>
      </c>
    </row>
    <row r="9" spans="1:8" x14ac:dyDescent="0.25">
      <c r="A9" s="100">
        <v>8</v>
      </c>
      <c r="B9" s="100">
        <v>1</v>
      </c>
      <c r="C9" s="100">
        <v>56</v>
      </c>
      <c r="D9" s="101">
        <v>215</v>
      </c>
      <c r="E9" s="101">
        <v>2</v>
      </c>
      <c r="F9" s="101">
        <v>526</v>
      </c>
      <c r="G9" s="101">
        <v>0</v>
      </c>
    </row>
    <row r="10" spans="1:8" x14ac:dyDescent="0.25">
      <c r="A10" s="100">
        <v>9</v>
      </c>
      <c r="B10" s="100">
        <v>0</v>
      </c>
      <c r="C10" s="100">
        <v>68</v>
      </c>
      <c r="D10" s="101">
        <v>133</v>
      </c>
      <c r="E10" s="101">
        <v>0</v>
      </c>
      <c r="F10" s="101">
        <v>55</v>
      </c>
      <c r="G10" s="101">
        <v>0</v>
      </c>
    </row>
    <row r="11" spans="1:8" x14ac:dyDescent="0.25">
      <c r="A11" s="100">
        <v>10</v>
      </c>
      <c r="B11" s="100">
        <v>1</v>
      </c>
      <c r="C11" s="100">
        <v>37</v>
      </c>
      <c r="D11" s="101">
        <v>171</v>
      </c>
      <c r="E11" s="101">
        <v>2</v>
      </c>
      <c r="F11" s="101">
        <v>404</v>
      </c>
      <c r="G11" s="101">
        <v>0</v>
      </c>
    </row>
    <row r="12" spans="1:8" x14ac:dyDescent="0.25">
      <c r="A12" s="100">
        <v>11</v>
      </c>
      <c r="B12" s="100">
        <v>0</v>
      </c>
      <c r="C12" s="100">
        <v>27</v>
      </c>
      <c r="D12" s="101">
        <v>45</v>
      </c>
      <c r="E12" s="101">
        <v>1</v>
      </c>
      <c r="F12" s="101">
        <v>221</v>
      </c>
      <c r="G12" s="101">
        <v>0</v>
      </c>
    </row>
    <row r="13" spans="1:8" x14ac:dyDescent="0.25">
      <c r="A13" s="100">
        <v>12</v>
      </c>
      <c r="B13" s="100">
        <v>0</v>
      </c>
      <c r="C13" s="100">
        <v>30</v>
      </c>
      <c r="D13" s="101">
        <v>94</v>
      </c>
      <c r="E13" s="101">
        <v>1</v>
      </c>
      <c r="F13" s="101">
        <v>262</v>
      </c>
      <c r="G13" s="101">
        <v>1</v>
      </c>
    </row>
    <row r="14" spans="1:8" x14ac:dyDescent="0.25">
      <c r="A14" s="100">
        <v>13</v>
      </c>
      <c r="B14" s="100">
        <v>1</v>
      </c>
      <c r="C14" s="100">
        <v>70</v>
      </c>
      <c r="D14" s="101">
        <v>172</v>
      </c>
      <c r="E14" s="101">
        <v>3</v>
      </c>
      <c r="F14" s="101">
        <v>594</v>
      </c>
      <c r="G14" s="101">
        <v>1</v>
      </c>
    </row>
    <row r="15" spans="1:8" x14ac:dyDescent="0.25">
      <c r="A15" s="100">
        <v>14</v>
      </c>
      <c r="B15" s="100">
        <v>0</v>
      </c>
      <c r="C15" s="100">
        <v>55</v>
      </c>
      <c r="D15" s="101">
        <v>114</v>
      </c>
      <c r="E15" s="101">
        <v>0</v>
      </c>
      <c r="F15" s="101">
        <v>273</v>
      </c>
      <c r="G15" s="101">
        <v>0</v>
      </c>
    </row>
    <row r="16" spans="1:8" x14ac:dyDescent="0.25">
      <c r="A16" s="100">
        <v>15</v>
      </c>
      <c r="B16" s="100">
        <v>0</v>
      </c>
      <c r="C16" s="100">
        <v>35</v>
      </c>
      <c r="D16" s="101">
        <v>0</v>
      </c>
      <c r="E16" s="101">
        <v>2</v>
      </c>
      <c r="F16" s="101">
        <v>368</v>
      </c>
      <c r="G16" s="101">
        <v>0</v>
      </c>
    </row>
    <row r="17" spans="1:7" x14ac:dyDescent="0.25">
      <c r="A17" s="100">
        <v>16</v>
      </c>
      <c r="B17" s="100">
        <v>0</v>
      </c>
      <c r="C17" s="100">
        <v>44</v>
      </c>
      <c r="D17" s="101">
        <v>113</v>
      </c>
      <c r="E17" s="101">
        <v>0</v>
      </c>
      <c r="F17" s="101">
        <v>324</v>
      </c>
      <c r="G17" s="101">
        <v>0</v>
      </c>
    </row>
    <row r="18" spans="1:7" x14ac:dyDescent="0.25">
      <c r="A18" s="100">
        <v>17</v>
      </c>
      <c r="B18" s="100">
        <v>1</v>
      </c>
      <c r="C18" s="100">
        <v>72</v>
      </c>
      <c r="D18" s="101">
        <v>205</v>
      </c>
      <c r="E18" s="101">
        <v>0</v>
      </c>
      <c r="F18" s="101">
        <v>322</v>
      </c>
      <c r="G18" s="101">
        <v>1</v>
      </c>
    </row>
    <row r="19" spans="1:7" x14ac:dyDescent="0.25">
      <c r="A19" s="100">
        <v>18</v>
      </c>
      <c r="B19" s="100">
        <v>0</v>
      </c>
      <c r="C19" s="100">
        <v>33</v>
      </c>
      <c r="D19" s="101">
        <v>150</v>
      </c>
      <c r="E19" s="101">
        <v>5</v>
      </c>
      <c r="F19" s="101">
        <v>316</v>
      </c>
      <c r="G19" s="101">
        <v>0</v>
      </c>
    </row>
    <row r="20" spans="1:7" x14ac:dyDescent="0.25">
      <c r="A20" s="100">
        <v>19</v>
      </c>
      <c r="B20" s="100">
        <v>1</v>
      </c>
      <c r="C20" s="100">
        <v>49</v>
      </c>
      <c r="D20" s="101">
        <v>226</v>
      </c>
      <c r="E20" s="101">
        <v>0</v>
      </c>
      <c r="F20" s="101">
        <v>686</v>
      </c>
      <c r="G20" s="101">
        <v>0</v>
      </c>
    </row>
    <row r="21" spans="1:7" x14ac:dyDescent="0.25">
      <c r="A21" s="100">
        <v>20</v>
      </c>
      <c r="B21" s="100">
        <v>1</v>
      </c>
      <c r="C21" s="100">
        <v>39</v>
      </c>
      <c r="D21" s="101">
        <v>222</v>
      </c>
      <c r="E21" s="101">
        <v>1</v>
      </c>
      <c r="F21" s="101">
        <v>619</v>
      </c>
      <c r="G21" s="101">
        <v>0</v>
      </c>
    </row>
    <row r="22" spans="1:7" x14ac:dyDescent="0.25">
      <c r="A22" s="100">
        <v>21</v>
      </c>
      <c r="B22" s="100">
        <v>0</v>
      </c>
      <c r="C22" s="100">
        <v>64</v>
      </c>
      <c r="D22" s="101">
        <v>223</v>
      </c>
      <c r="E22" s="101">
        <v>1</v>
      </c>
      <c r="F22" s="101">
        <v>411</v>
      </c>
      <c r="G22" s="101">
        <v>0</v>
      </c>
    </row>
    <row r="23" spans="1:7" x14ac:dyDescent="0.25">
      <c r="A23" s="100">
        <v>22</v>
      </c>
      <c r="B23" s="100">
        <v>1</v>
      </c>
      <c r="C23" s="100">
        <v>71</v>
      </c>
      <c r="D23" s="101">
        <v>155</v>
      </c>
      <c r="E23" s="101">
        <v>0</v>
      </c>
      <c r="F23" s="101">
        <v>247</v>
      </c>
      <c r="G23" s="101">
        <v>0</v>
      </c>
    </row>
    <row r="24" spans="1:7" x14ac:dyDescent="0.25">
      <c r="A24" s="100">
        <v>23</v>
      </c>
      <c r="B24" s="100">
        <v>0</v>
      </c>
      <c r="C24" s="100">
        <v>35</v>
      </c>
      <c r="D24" s="101">
        <v>48</v>
      </c>
      <c r="E24" s="101">
        <v>0</v>
      </c>
      <c r="F24" s="101">
        <v>361</v>
      </c>
      <c r="G24" s="101">
        <v>0</v>
      </c>
    </row>
    <row r="25" spans="1:7" x14ac:dyDescent="0.25">
      <c r="A25" s="100">
        <v>24</v>
      </c>
      <c r="B25" s="100">
        <v>1</v>
      </c>
      <c r="C25" s="100">
        <v>53</v>
      </c>
      <c r="D25" s="101">
        <v>260</v>
      </c>
      <c r="E25" s="101">
        <v>0</v>
      </c>
      <c r="F25" s="101">
        <v>567</v>
      </c>
      <c r="G25" s="101">
        <v>1</v>
      </c>
    </row>
    <row r="26" spans="1:7" x14ac:dyDescent="0.25">
      <c r="A26" s="100">
        <v>25</v>
      </c>
      <c r="B26" s="100">
        <v>1</v>
      </c>
      <c r="C26" s="100">
        <v>65</v>
      </c>
      <c r="D26" s="101">
        <v>174</v>
      </c>
      <c r="E26" s="101">
        <v>1</v>
      </c>
      <c r="F26" s="101">
        <v>686</v>
      </c>
      <c r="G26" s="101">
        <v>0</v>
      </c>
    </row>
    <row r="27" spans="1:7" x14ac:dyDescent="0.25">
      <c r="A27" s="100">
        <v>26</v>
      </c>
      <c r="B27" s="100">
        <v>0</v>
      </c>
      <c r="C27" s="100">
        <v>44</v>
      </c>
      <c r="D27" s="101">
        <v>170</v>
      </c>
      <c r="E27" s="101">
        <v>2</v>
      </c>
      <c r="F27" s="101">
        <v>388</v>
      </c>
      <c r="G27" s="101">
        <v>0</v>
      </c>
    </row>
    <row r="28" spans="1:7" x14ac:dyDescent="0.25">
      <c r="A28" s="100">
        <v>27</v>
      </c>
      <c r="B28" s="100">
        <v>0</v>
      </c>
      <c r="C28" s="100">
        <v>46</v>
      </c>
      <c r="D28" s="101">
        <v>106</v>
      </c>
      <c r="E28" s="101">
        <v>3</v>
      </c>
      <c r="F28" s="101">
        <v>47</v>
      </c>
      <c r="G28" s="101">
        <v>0</v>
      </c>
    </row>
    <row r="29" spans="1:7" x14ac:dyDescent="0.25">
      <c r="A29" s="100">
        <v>28</v>
      </c>
      <c r="B29" s="100">
        <v>1</v>
      </c>
      <c r="C29" s="100">
        <v>56</v>
      </c>
      <c r="D29" s="101">
        <v>211</v>
      </c>
      <c r="E29" s="101">
        <v>3</v>
      </c>
      <c r="F29" s="101">
        <v>348</v>
      </c>
      <c r="G29" s="101">
        <v>0</v>
      </c>
    </row>
    <row r="30" spans="1:7" x14ac:dyDescent="0.25">
      <c r="A30" s="100">
        <v>29</v>
      </c>
      <c r="B30" s="100">
        <v>1</v>
      </c>
      <c r="C30" s="100">
        <v>34</v>
      </c>
      <c r="D30" s="101">
        <v>101</v>
      </c>
      <c r="E30" s="101">
        <v>4</v>
      </c>
      <c r="F30" s="101">
        <v>642</v>
      </c>
      <c r="G30" s="101">
        <v>1</v>
      </c>
    </row>
    <row r="31" spans="1:7" x14ac:dyDescent="0.25">
      <c r="A31" s="100">
        <v>30</v>
      </c>
      <c r="B31" s="100">
        <v>1</v>
      </c>
      <c r="C31" s="100">
        <v>52</v>
      </c>
      <c r="D31" s="101">
        <v>185</v>
      </c>
      <c r="E31" s="101">
        <v>8</v>
      </c>
      <c r="F31" s="101">
        <v>690</v>
      </c>
      <c r="G31" s="101">
        <v>1</v>
      </c>
    </row>
    <row r="32" spans="1:7" x14ac:dyDescent="0.25">
      <c r="A32" s="100">
        <v>31</v>
      </c>
      <c r="B32" s="100">
        <v>1</v>
      </c>
      <c r="C32" s="100">
        <v>63</v>
      </c>
      <c r="D32" s="101">
        <v>201</v>
      </c>
      <c r="E32" s="101">
        <v>3</v>
      </c>
      <c r="F32" s="101">
        <v>354</v>
      </c>
      <c r="G32" s="101">
        <v>0</v>
      </c>
    </row>
    <row r="33" spans="1:7" x14ac:dyDescent="0.25">
      <c r="A33" s="100">
        <v>32</v>
      </c>
      <c r="B33" s="100">
        <v>0</v>
      </c>
      <c r="C33" s="100">
        <v>36</v>
      </c>
      <c r="D33" s="101">
        <v>126</v>
      </c>
      <c r="E33" s="101">
        <v>3</v>
      </c>
      <c r="F33" s="101">
        <v>353</v>
      </c>
      <c r="G33" s="101">
        <v>0</v>
      </c>
    </row>
    <row r="34" spans="1:7" x14ac:dyDescent="0.25">
      <c r="A34" s="100">
        <v>33</v>
      </c>
      <c r="B34" s="100">
        <v>0</v>
      </c>
      <c r="C34" s="100">
        <v>34</v>
      </c>
      <c r="D34" s="101">
        <v>193</v>
      </c>
      <c r="E34" s="101">
        <v>3</v>
      </c>
      <c r="F34" s="101">
        <v>315</v>
      </c>
      <c r="G34" s="101">
        <v>0</v>
      </c>
    </row>
    <row r="35" spans="1:7" x14ac:dyDescent="0.25">
      <c r="A35" s="100">
        <v>34</v>
      </c>
      <c r="B35" s="100">
        <v>0</v>
      </c>
      <c r="C35" s="100">
        <v>28</v>
      </c>
      <c r="D35" s="101">
        <v>144</v>
      </c>
      <c r="E35" s="101">
        <v>2</v>
      </c>
      <c r="F35" s="101">
        <v>251</v>
      </c>
      <c r="G35" s="101">
        <v>1</v>
      </c>
    </row>
    <row r="36" spans="1:7" x14ac:dyDescent="0.25">
      <c r="A36" s="100">
        <v>35</v>
      </c>
      <c r="B36" s="100">
        <v>1</v>
      </c>
      <c r="C36" s="100">
        <v>42</v>
      </c>
      <c r="D36" s="101">
        <v>172</v>
      </c>
      <c r="E36" s="101">
        <v>5</v>
      </c>
      <c r="F36" s="101">
        <v>560</v>
      </c>
      <c r="G36" s="101">
        <v>0</v>
      </c>
    </row>
    <row r="37" spans="1:7" x14ac:dyDescent="0.25">
      <c r="A37" s="100">
        <v>36</v>
      </c>
      <c r="B37" s="100">
        <v>0</v>
      </c>
      <c r="C37" s="100">
        <v>34</v>
      </c>
      <c r="D37" s="101">
        <v>135</v>
      </c>
      <c r="E37" s="101">
        <v>2</v>
      </c>
      <c r="F37" s="101">
        <v>0</v>
      </c>
      <c r="G37" s="101">
        <v>0</v>
      </c>
    </row>
    <row r="38" spans="1:7" x14ac:dyDescent="0.25">
      <c r="A38" s="100">
        <v>37</v>
      </c>
      <c r="B38" s="100">
        <v>0</v>
      </c>
      <c r="C38" s="100">
        <v>43</v>
      </c>
      <c r="D38" s="101">
        <v>198</v>
      </c>
      <c r="E38" s="101">
        <v>2</v>
      </c>
      <c r="F38" s="101">
        <v>228</v>
      </c>
      <c r="G38" s="101">
        <v>0</v>
      </c>
    </row>
    <row r="39" spans="1:7" x14ac:dyDescent="0.25">
      <c r="A39" s="100">
        <v>38</v>
      </c>
      <c r="B39" s="100">
        <v>1</v>
      </c>
      <c r="C39" s="100">
        <v>38</v>
      </c>
      <c r="D39" s="101">
        <v>161</v>
      </c>
      <c r="E39" s="101">
        <v>4</v>
      </c>
      <c r="F39" s="101">
        <v>410</v>
      </c>
      <c r="G39" s="101">
        <v>1</v>
      </c>
    </row>
    <row r="40" spans="1:7" x14ac:dyDescent="0.25">
      <c r="A40" s="100">
        <v>39</v>
      </c>
      <c r="B40" s="100">
        <v>1</v>
      </c>
      <c r="C40" s="100">
        <v>60</v>
      </c>
      <c r="D40" s="101">
        <v>230</v>
      </c>
      <c r="E40" s="101">
        <v>1</v>
      </c>
      <c r="F40" s="101">
        <v>685</v>
      </c>
      <c r="G40" s="101">
        <v>0</v>
      </c>
    </row>
    <row r="41" spans="1:7" x14ac:dyDescent="0.25">
      <c r="A41" s="100">
        <v>40</v>
      </c>
      <c r="B41" s="100">
        <v>1</v>
      </c>
      <c r="C41" s="100">
        <v>41</v>
      </c>
      <c r="D41" s="101">
        <v>177</v>
      </c>
      <c r="E41" s="101">
        <v>3</v>
      </c>
      <c r="F41" s="101">
        <v>525</v>
      </c>
      <c r="G41" s="101">
        <v>1</v>
      </c>
    </row>
    <row r="42" spans="1:7" x14ac:dyDescent="0.25">
      <c r="A42" s="100">
        <v>41</v>
      </c>
      <c r="B42" s="100">
        <v>0</v>
      </c>
      <c r="C42" s="100">
        <v>37</v>
      </c>
      <c r="D42" s="101">
        <v>232</v>
      </c>
      <c r="E42" s="101">
        <v>5</v>
      </c>
      <c r="F42" s="101">
        <v>447</v>
      </c>
      <c r="G42" s="101">
        <v>0</v>
      </c>
    </row>
    <row r="43" spans="1:7" x14ac:dyDescent="0.25">
      <c r="A43" s="100">
        <v>42</v>
      </c>
      <c r="B43" s="100">
        <v>0</v>
      </c>
      <c r="C43" s="100">
        <v>63</v>
      </c>
      <c r="D43" s="101">
        <v>77</v>
      </c>
      <c r="E43" s="101">
        <v>2</v>
      </c>
      <c r="F43" s="101">
        <v>0</v>
      </c>
      <c r="G43" s="101">
        <v>1</v>
      </c>
    </row>
    <row r="44" spans="1:7" x14ac:dyDescent="0.25">
      <c r="A44" s="100">
        <v>43</v>
      </c>
      <c r="B44" s="100">
        <v>0</v>
      </c>
      <c r="C44" s="100">
        <v>67</v>
      </c>
      <c r="D44" s="101">
        <v>71</v>
      </c>
      <c r="E44" s="101">
        <v>2</v>
      </c>
      <c r="F44" s="101">
        <v>334</v>
      </c>
      <c r="G44" s="101">
        <v>0</v>
      </c>
    </row>
    <row r="45" spans="1:7" x14ac:dyDescent="0.25">
      <c r="A45" s="100">
        <v>44</v>
      </c>
      <c r="B45" s="100">
        <v>0</v>
      </c>
      <c r="C45" s="100">
        <v>35</v>
      </c>
      <c r="D45" s="101">
        <v>214</v>
      </c>
      <c r="E45" s="101">
        <v>0</v>
      </c>
      <c r="F45" s="101">
        <v>656</v>
      </c>
      <c r="G45" s="101">
        <v>0</v>
      </c>
    </row>
    <row r="46" spans="1:7" x14ac:dyDescent="0.25">
      <c r="A46" s="100">
        <v>45</v>
      </c>
      <c r="B46" s="100">
        <v>0</v>
      </c>
      <c r="C46" s="100">
        <v>33</v>
      </c>
      <c r="D46" s="101">
        <v>29</v>
      </c>
      <c r="E46" s="101">
        <v>0</v>
      </c>
      <c r="F46" s="101">
        <v>197</v>
      </c>
      <c r="G46" s="101">
        <v>1</v>
      </c>
    </row>
    <row r="47" spans="1:7" x14ac:dyDescent="0.25">
      <c r="A47" s="100">
        <v>46</v>
      </c>
      <c r="B47" s="100">
        <v>0</v>
      </c>
      <c r="C47" s="100">
        <v>43</v>
      </c>
      <c r="D47" s="101">
        <v>183</v>
      </c>
      <c r="E47" s="101">
        <v>0</v>
      </c>
      <c r="F47" s="101">
        <v>510</v>
      </c>
      <c r="G47" s="101">
        <v>0</v>
      </c>
    </row>
    <row r="48" spans="1:7" x14ac:dyDescent="0.25">
      <c r="A48" s="100">
        <v>47</v>
      </c>
      <c r="B48" s="100">
        <v>0</v>
      </c>
      <c r="C48" s="100">
        <v>55</v>
      </c>
      <c r="D48" s="101">
        <v>218</v>
      </c>
      <c r="E48" s="101">
        <v>2</v>
      </c>
      <c r="F48" s="101">
        <v>499</v>
      </c>
      <c r="G48" s="101">
        <v>0</v>
      </c>
    </row>
    <row r="49" spans="1:7" x14ac:dyDescent="0.25">
      <c r="A49" s="100">
        <v>48</v>
      </c>
      <c r="B49" s="100">
        <v>1</v>
      </c>
      <c r="C49" s="100">
        <v>74</v>
      </c>
      <c r="D49" s="101">
        <v>275</v>
      </c>
      <c r="E49" s="101">
        <v>1</v>
      </c>
      <c r="F49" s="101">
        <v>352</v>
      </c>
      <c r="G49" s="101">
        <v>1</v>
      </c>
    </row>
    <row r="50" spans="1:7" x14ac:dyDescent="0.25">
      <c r="A50" s="100">
        <v>49</v>
      </c>
      <c r="B50" s="100">
        <v>0</v>
      </c>
      <c r="C50" s="100">
        <v>25</v>
      </c>
      <c r="D50" s="101">
        <v>158</v>
      </c>
      <c r="E50" s="101">
        <v>0</v>
      </c>
      <c r="F50" s="101">
        <v>266</v>
      </c>
      <c r="G50" s="101">
        <v>0</v>
      </c>
    </row>
    <row r="51" spans="1:7" x14ac:dyDescent="0.25">
      <c r="A51" s="100">
        <v>50</v>
      </c>
      <c r="B51" s="100">
        <v>0</v>
      </c>
      <c r="C51" s="100">
        <v>36</v>
      </c>
      <c r="D51" s="101">
        <v>150</v>
      </c>
      <c r="E51" s="101">
        <v>5</v>
      </c>
      <c r="F51" s="101">
        <v>462</v>
      </c>
      <c r="G51" s="101">
        <v>1</v>
      </c>
    </row>
    <row r="52" spans="1:7" x14ac:dyDescent="0.25">
      <c r="A52" s="100">
        <v>51</v>
      </c>
      <c r="B52" s="100">
        <v>0</v>
      </c>
      <c r="C52" s="100">
        <v>47</v>
      </c>
      <c r="D52" s="101">
        <v>115</v>
      </c>
      <c r="E52" s="101">
        <v>1</v>
      </c>
      <c r="F52" s="101">
        <v>524</v>
      </c>
      <c r="G52" s="101">
        <v>0</v>
      </c>
    </row>
    <row r="53" spans="1:7" x14ac:dyDescent="0.25">
      <c r="A53" s="100">
        <v>52</v>
      </c>
      <c r="B53" s="100">
        <v>1</v>
      </c>
      <c r="C53" s="100">
        <v>50</v>
      </c>
      <c r="D53" s="101">
        <v>194</v>
      </c>
      <c r="E53" s="101">
        <v>0</v>
      </c>
      <c r="F53" s="101">
        <v>499</v>
      </c>
      <c r="G53" s="101">
        <v>0</v>
      </c>
    </row>
    <row r="54" spans="1:7" x14ac:dyDescent="0.25">
      <c r="A54" s="100">
        <v>53</v>
      </c>
      <c r="B54" s="100">
        <v>0</v>
      </c>
      <c r="C54" s="100">
        <v>38</v>
      </c>
      <c r="D54" s="101">
        <v>34</v>
      </c>
      <c r="E54" s="101">
        <v>1</v>
      </c>
      <c r="F54" s="101">
        <v>333</v>
      </c>
      <c r="G54" s="101">
        <v>0</v>
      </c>
    </row>
    <row r="55" spans="1:7" x14ac:dyDescent="0.25">
      <c r="A55" s="100">
        <v>54</v>
      </c>
      <c r="B55" s="100">
        <v>0</v>
      </c>
      <c r="C55" s="100">
        <v>26</v>
      </c>
      <c r="D55" s="101">
        <v>90</v>
      </c>
      <c r="E55" s="101">
        <v>4</v>
      </c>
      <c r="F55" s="101">
        <v>110</v>
      </c>
      <c r="G55" s="101">
        <v>0</v>
      </c>
    </row>
    <row r="56" spans="1:7" x14ac:dyDescent="0.25">
      <c r="A56" s="100">
        <v>55</v>
      </c>
      <c r="B56" s="100">
        <v>0</v>
      </c>
      <c r="C56" s="100">
        <v>36</v>
      </c>
      <c r="D56" s="101">
        <v>112</v>
      </c>
      <c r="E56" s="101">
        <v>6</v>
      </c>
      <c r="F56" s="101">
        <v>107</v>
      </c>
      <c r="G56" s="101">
        <v>0</v>
      </c>
    </row>
    <row r="57" spans="1:7" x14ac:dyDescent="0.25">
      <c r="A57" s="100">
        <v>56</v>
      </c>
      <c r="B57" s="100">
        <v>1</v>
      </c>
      <c r="C57" s="100">
        <v>55</v>
      </c>
      <c r="D57" s="101">
        <v>238</v>
      </c>
      <c r="E57" s="101">
        <v>6</v>
      </c>
      <c r="F57" s="101">
        <v>627</v>
      </c>
      <c r="G57" s="101">
        <v>0</v>
      </c>
    </row>
    <row r="58" spans="1:7" x14ac:dyDescent="0.25">
      <c r="A58" s="100">
        <v>57</v>
      </c>
      <c r="B58" s="100">
        <v>1</v>
      </c>
      <c r="C58" s="100">
        <v>64</v>
      </c>
      <c r="D58" s="101">
        <v>217</v>
      </c>
      <c r="E58" s="101">
        <v>0</v>
      </c>
      <c r="F58" s="101">
        <v>443</v>
      </c>
      <c r="G58" s="101">
        <v>1</v>
      </c>
    </row>
    <row r="59" spans="1:7" x14ac:dyDescent="0.25">
      <c r="A59" s="100">
        <v>58</v>
      </c>
      <c r="B59" s="100">
        <v>0</v>
      </c>
      <c r="C59" s="100">
        <v>20</v>
      </c>
      <c r="D59" s="101">
        <v>75</v>
      </c>
      <c r="E59" s="101">
        <v>0</v>
      </c>
      <c r="F59" s="101">
        <v>167</v>
      </c>
      <c r="G59" s="101">
        <v>0</v>
      </c>
    </row>
    <row r="60" spans="1:7" x14ac:dyDescent="0.25">
      <c r="A60" s="100">
        <v>59</v>
      </c>
      <c r="B60" s="100">
        <v>0</v>
      </c>
      <c r="C60" s="100">
        <v>26</v>
      </c>
      <c r="D60" s="101">
        <v>199</v>
      </c>
      <c r="E60" s="101">
        <v>6</v>
      </c>
      <c r="F60" s="101">
        <v>320</v>
      </c>
      <c r="G60" s="101">
        <v>1</v>
      </c>
    </row>
    <row r="61" spans="1:7" x14ac:dyDescent="0.25">
      <c r="A61" s="100">
        <v>60</v>
      </c>
      <c r="B61" s="100">
        <v>0</v>
      </c>
      <c r="C61" s="100">
        <v>28</v>
      </c>
      <c r="D61" s="101">
        <v>177</v>
      </c>
      <c r="E61" s="101">
        <v>4</v>
      </c>
      <c r="F61" s="101">
        <v>358</v>
      </c>
      <c r="G61" s="101">
        <v>0</v>
      </c>
    </row>
    <row r="62" spans="1:7" x14ac:dyDescent="0.25">
      <c r="A62" s="100">
        <v>61</v>
      </c>
      <c r="B62" s="100">
        <v>0</v>
      </c>
      <c r="C62" s="100">
        <v>30</v>
      </c>
      <c r="D62" s="101">
        <v>190</v>
      </c>
      <c r="E62" s="101">
        <v>3</v>
      </c>
      <c r="F62" s="101">
        <v>487</v>
      </c>
      <c r="G62" s="101">
        <v>0</v>
      </c>
    </row>
    <row r="63" spans="1:7" x14ac:dyDescent="0.25">
      <c r="A63" s="100">
        <v>62</v>
      </c>
      <c r="B63" s="100">
        <v>0</v>
      </c>
      <c r="C63" s="100">
        <v>41</v>
      </c>
      <c r="D63" s="101">
        <v>163</v>
      </c>
      <c r="E63" s="101">
        <v>6</v>
      </c>
      <c r="F63" s="101">
        <v>370</v>
      </c>
      <c r="G63" s="101">
        <v>1</v>
      </c>
    </row>
    <row r="64" spans="1:7" x14ac:dyDescent="0.25">
      <c r="A64" s="100">
        <v>63</v>
      </c>
      <c r="B64" s="100">
        <v>1</v>
      </c>
      <c r="C64" s="100">
        <v>60</v>
      </c>
      <c r="D64" s="101">
        <v>233</v>
      </c>
      <c r="E64" s="101">
        <v>3</v>
      </c>
      <c r="F64" s="101">
        <v>363</v>
      </c>
      <c r="G64" s="101">
        <v>1</v>
      </c>
    </row>
    <row r="65" spans="1:7" x14ac:dyDescent="0.25">
      <c r="A65" s="100">
        <v>64</v>
      </c>
      <c r="B65" s="100">
        <v>0</v>
      </c>
      <c r="C65" s="100">
        <v>46</v>
      </c>
      <c r="D65" s="101">
        <v>108</v>
      </c>
      <c r="E65" s="101">
        <v>4</v>
      </c>
      <c r="F65" s="101">
        <v>301</v>
      </c>
      <c r="G65" s="101">
        <v>0</v>
      </c>
    </row>
    <row r="66" spans="1:7" x14ac:dyDescent="0.25">
      <c r="A66" s="100">
        <v>65</v>
      </c>
      <c r="B66" s="100">
        <v>1</v>
      </c>
      <c r="C66" s="100">
        <v>77</v>
      </c>
      <c r="D66" s="101">
        <v>219</v>
      </c>
      <c r="E66" s="101">
        <v>2</v>
      </c>
      <c r="F66" s="101">
        <v>266</v>
      </c>
      <c r="G66" s="101">
        <v>0</v>
      </c>
    </row>
    <row r="67" spans="1:7" x14ac:dyDescent="0.25">
      <c r="A67" s="100">
        <v>66</v>
      </c>
      <c r="B67" s="100">
        <v>1</v>
      </c>
      <c r="C67" s="100">
        <v>46</v>
      </c>
      <c r="D67" s="101">
        <v>148</v>
      </c>
      <c r="E67" s="101">
        <v>0</v>
      </c>
      <c r="F67" s="101">
        <v>208</v>
      </c>
      <c r="G67" s="101">
        <v>0</v>
      </c>
    </row>
    <row r="68" spans="1:7" x14ac:dyDescent="0.25">
      <c r="A68" s="100">
        <v>67</v>
      </c>
      <c r="B68" s="100">
        <v>1</v>
      </c>
      <c r="C68" s="100">
        <v>77</v>
      </c>
      <c r="D68" s="101">
        <v>162</v>
      </c>
      <c r="E68" s="101">
        <v>1</v>
      </c>
      <c r="F68" s="101">
        <v>431</v>
      </c>
      <c r="G68" s="101">
        <v>0</v>
      </c>
    </row>
    <row r="69" spans="1:7" x14ac:dyDescent="0.25">
      <c r="A69" s="100">
        <v>68</v>
      </c>
      <c r="B69" s="100">
        <v>0</v>
      </c>
      <c r="C69" s="100">
        <v>29</v>
      </c>
      <c r="D69" s="101">
        <v>120</v>
      </c>
      <c r="E69" s="101">
        <v>5</v>
      </c>
      <c r="F69" s="101">
        <v>421</v>
      </c>
      <c r="G69" s="101">
        <v>1</v>
      </c>
    </row>
    <row r="70" spans="1:7" x14ac:dyDescent="0.25">
      <c r="A70" s="100">
        <v>69</v>
      </c>
      <c r="B70" s="100">
        <v>0</v>
      </c>
      <c r="C70" s="100">
        <v>47</v>
      </c>
      <c r="D70" s="101">
        <v>145</v>
      </c>
      <c r="E70" s="101">
        <v>6</v>
      </c>
      <c r="F70" s="101">
        <v>318</v>
      </c>
      <c r="G70" s="101">
        <v>0</v>
      </c>
    </row>
    <row r="71" spans="1:7" x14ac:dyDescent="0.25">
      <c r="A71" s="100">
        <v>70</v>
      </c>
      <c r="B71" s="100">
        <v>0</v>
      </c>
      <c r="C71" s="100">
        <v>44</v>
      </c>
      <c r="D71" s="101">
        <v>76</v>
      </c>
      <c r="E71" s="101">
        <v>4</v>
      </c>
      <c r="F71" s="101">
        <v>335</v>
      </c>
      <c r="G71" s="101">
        <v>0</v>
      </c>
    </row>
    <row r="72" spans="1:7" x14ac:dyDescent="0.25">
      <c r="A72" s="100">
        <v>71</v>
      </c>
      <c r="B72" s="100">
        <v>1</v>
      </c>
      <c r="C72" s="100">
        <v>61</v>
      </c>
      <c r="D72" s="101">
        <v>223</v>
      </c>
      <c r="E72" s="101">
        <v>2</v>
      </c>
      <c r="F72" s="101">
        <v>366</v>
      </c>
      <c r="G72" s="101">
        <v>0</v>
      </c>
    </row>
    <row r="73" spans="1:7" x14ac:dyDescent="0.25">
      <c r="A73" s="100">
        <v>72</v>
      </c>
      <c r="B73" s="100">
        <v>0</v>
      </c>
      <c r="C73" s="100">
        <v>33</v>
      </c>
      <c r="D73" s="101">
        <v>140</v>
      </c>
      <c r="E73" s="101">
        <v>4</v>
      </c>
      <c r="F73" s="101">
        <v>552</v>
      </c>
      <c r="G73" s="101">
        <v>0</v>
      </c>
    </row>
    <row r="74" spans="1:7" x14ac:dyDescent="0.25">
      <c r="A74" s="100">
        <v>73</v>
      </c>
      <c r="B74" s="100">
        <v>0</v>
      </c>
      <c r="C74" s="100">
        <v>24</v>
      </c>
      <c r="D74" s="101">
        <v>44</v>
      </c>
      <c r="E74" s="101">
        <v>5</v>
      </c>
      <c r="F74" s="101">
        <v>0</v>
      </c>
      <c r="G74" s="101">
        <v>1</v>
      </c>
    </row>
    <row r="75" spans="1:7" x14ac:dyDescent="0.25">
      <c r="A75" s="100">
        <v>74</v>
      </c>
      <c r="B75" s="100">
        <v>0</v>
      </c>
      <c r="C75" s="100">
        <v>46</v>
      </c>
      <c r="D75" s="101">
        <v>107</v>
      </c>
      <c r="E75" s="101">
        <v>1</v>
      </c>
      <c r="F75" s="101">
        <v>196</v>
      </c>
      <c r="G75" s="101">
        <v>0</v>
      </c>
    </row>
    <row r="76" spans="1:7" x14ac:dyDescent="0.25">
      <c r="A76" s="100">
        <v>75</v>
      </c>
      <c r="B76" s="100">
        <v>0</v>
      </c>
      <c r="C76" s="100">
        <v>32</v>
      </c>
      <c r="D76" s="101">
        <v>114</v>
      </c>
      <c r="E76" s="101">
        <v>5</v>
      </c>
      <c r="F76" s="101">
        <v>195</v>
      </c>
      <c r="G76" s="101">
        <v>0</v>
      </c>
    </row>
    <row r="77" spans="1:7" x14ac:dyDescent="0.25">
      <c r="A77" s="100">
        <v>76</v>
      </c>
      <c r="B77" s="100">
        <v>1</v>
      </c>
      <c r="C77" s="100">
        <v>75</v>
      </c>
      <c r="D77" s="101">
        <v>270</v>
      </c>
      <c r="E77" s="101">
        <v>3</v>
      </c>
      <c r="F77" s="101">
        <v>655</v>
      </c>
      <c r="G77" s="101">
        <v>0</v>
      </c>
    </row>
    <row r="78" spans="1:7" x14ac:dyDescent="0.25">
      <c r="A78" s="100">
        <v>77</v>
      </c>
      <c r="B78" s="100">
        <v>0</v>
      </c>
      <c r="C78" s="100">
        <v>55</v>
      </c>
      <c r="D78" s="101">
        <v>157</v>
      </c>
      <c r="E78" s="101">
        <v>5</v>
      </c>
      <c r="F78" s="101">
        <v>257</v>
      </c>
      <c r="G78" s="101">
        <v>1</v>
      </c>
    </row>
    <row r="79" spans="1:7" x14ac:dyDescent="0.25">
      <c r="A79" s="100">
        <v>78</v>
      </c>
      <c r="B79" s="100">
        <v>0</v>
      </c>
      <c r="C79" s="100">
        <v>66</v>
      </c>
      <c r="D79" s="101">
        <v>204</v>
      </c>
      <c r="E79" s="101">
        <v>0</v>
      </c>
      <c r="F79" s="101">
        <v>240</v>
      </c>
      <c r="G79" s="101">
        <v>0</v>
      </c>
    </row>
    <row r="80" spans="1:7" x14ac:dyDescent="0.25">
      <c r="A80" s="100">
        <v>79</v>
      </c>
      <c r="B80" s="100">
        <v>0</v>
      </c>
      <c r="C80" s="100">
        <v>22</v>
      </c>
      <c r="D80" s="101">
        <v>160</v>
      </c>
      <c r="E80" s="101">
        <v>2</v>
      </c>
      <c r="F80" s="101">
        <v>117</v>
      </c>
      <c r="G80" s="101">
        <v>0</v>
      </c>
    </row>
    <row r="81" spans="1:7" x14ac:dyDescent="0.25">
      <c r="A81" s="100">
        <v>80</v>
      </c>
      <c r="B81" s="100">
        <v>0</v>
      </c>
      <c r="C81" s="100">
        <v>27</v>
      </c>
      <c r="D81" s="101">
        <v>191</v>
      </c>
      <c r="E81" s="101">
        <v>5</v>
      </c>
      <c r="F81" s="101">
        <v>324</v>
      </c>
      <c r="G81" s="101">
        <v>0</v>
      </c>
    </row>
    <row r="82" spans="1:7" x14ac:dyDescent="0.25">
      <c r="A82" s="100">
        <v>81</v>
      </c>
      <c r="B82" s="100">
        <v>0</v>
      </c>
      <c r="C82" s="100">
        <v>64</v>
      </c>
      <c r="D82" s="101">
        <v>57</v>
      </c>
      <c r="E82" s="101">
        <v>0</v>
      </c>
      <c r="F82" s="101">
        <v>361</v>
      </c>
      <c r="G82" s="101">
        <v>0</v>
      </c>
    </row>
    <row r="83" spans="1:7" x14ac:dyDescent="0.25">
      <c r="A83" s="100">
        <v>82</v>
      </c>
      <c r="B83" s="100">
        <v>0</v>
      </c>
      <c r="C83" s="100">
        <v>32</v>
      </c>
      <c r="D83" s="101">
        <v>70</v>
      </c>
      <c r="E83" s="101">
        <v>4</v>
      </c>
      <c r="F83" s="101">
        <v>0</v>
      </c>
      <c r="G83" s="101">
        <v>1</v>
      </c>
    </row>
    <row r="84" spans="1:7" x14ac:dyDescent="0.25">
      <c r="A84" s="100">
        <v>83</v>
      </c>
      <c r="B84" s="100">
        <v>1</v>
      </c>
      <c r="C84" s="100">
        <v>60</v>
      </c>
      <c r="D84" s="101">
        <v>133</v>
      </c>
      <c r="E84" s="101">
        <v>0</v>
      </c>
      <c r="F84" s="101">
        <v>382</v>
      </c>
      <c r="G84" s="101">
        <v>1</v>
      </c>
    </row>
    <row r="85" spans="1:7" x14ac:dyDescent="0.25">
      <c r="A85" s="100">
        <v>84</v>
      </c>
      <c r="B85" s="100">
        <v>1</v>
      </c>
      <c r="C85" s="100">
        <v>52</v>
      </c>
      <c r="D85" s="101">
        <v>245</v>
      </c>
      <c r="E85" s="101">
        <v>4</v>
      </c>
      <c r="F85" s="101">
        <v>748</v>
      </c>
      <c r="G85" s="101">
        <v>0</v>
      </c>
    </row>
    <row r="86" spans="1:7" x14ac:dyDescent="0.25">
      <c r="A86" s="100">
        <v>85</v>
      </c>
      <c r="B86" s="100">
        <v>0</v>
      </c>
      <c r="C86" s="100">
        <v>46</v>
      </c>
      <c r="D86" s="101">
        <v>193</v>
      </c>
      <c r="E86" s="101">
        <v>5</v>
      </c>
      <c r="F86" s="101">
        <v>377</v>
      </c>
      <c r="G86" s="101">
        <v>0</v>
      </c>
    </row>
    <row r="87" spans="1:7" x14ac:dyDescent="0.25">
      <c r="A87" s="100">
        <v>86</v>
      </c>
      <c r="B87" s="100">
        <v>0</v>
      </c>
      <c r="C87" s="100">
        <v>40</v>
      </c>
      <c r="D87" s="101">
        <v>54</v>
      </c>
      <c r="E87" s="101">
        <v>3</v>
      </c>
      <c r="F87" s="101">
        <v>70</v>
      </c>
      <c r="G87" s="101">
        <v>0</v>
      </c>
    </row>
    <row r="88" spans="1:7" x14ac:dyDescent="0.25">
      <c r="A88" s="100">
        <v>87</v>
      </c>
      <c r="B88" s="100">
        <v>1</v>
      </c>
      <c r="C88" s="100">
        <v>35</v>
      </c>
      <c r="D88" s="101">
        <v>224</v>
      </c>
      <c r="E88" s="101">
        <v>3</v>
      </c>
      <c r="F88" s="101">
        <v>697</v>
      </c>
      <c r="G88" s="101">
        <v>0</v>
      </c>
    </row>
    <row r="89" spans="1:7" x14ac:dyDescent="0.25">
      <c r="A89" s="100">
        <v>88</v>
      </c>
      <c r="B89" s="100">
        <v>1</v>
      </c>
      <c r="C89" s="100">
        <v>67</v>
      </c>
      <c r="D89" s="101">
        <v>248</v>
      </c>
      <c r="E89" s="101">
        <v>0</v>
      </c>
      <c r="F89" s="101">
        <v>705</v>
      </c>
      <c r="G89" s="101">
        <v>0</v>
      </c>
    </row>
    <row r="90" spans="1:7" x14ac:dyDescent="0.25">
      <c r="A90" s="100">
        <v>89</v>
      </c>
      <c r="B90" s="100">
        <v>1</v>
      </c>
      <c r="C90" s="100">
        <v>53</v>
      </c>
      <c r="D90" s="101">
        <v>234</v>
      </c>
      <c r="E90" s="101">
        <v>4</v>
      </c>
      <c r="F90" s="101">
        <v>510</v>
      </c>
      <c r="G90" s="101">
        <v>0</v>
      </c>
    </row>
    <row r="91" spans="1:7" x14ac:dyDescent="0.25">
      <c r="A91" s="100">
        <v>90</v>
      </c>
      <c r="B91" s="100">
        <v>0</v>
      </c>
      <c r="C91" s="100">
        <v>50</v>
      </c>
      <c r="D91" s="101">
        <v>10</v>
      </c>
      <c r="E91" s="101">
        <v>2</v>
      </c>
      <c r="F91" s="101">
        <v>251</v>
      </c>
      <c r="G91" s="101">
        <v>0</v>
      </c>
    </row>
    <row r="92" spans="1:7" x14ac:dyDescent="0.25">
      <c r="A92" s="100">
        <v>91</v>
      </c>
      <c r="B92" s="100">
        <v>0</v>
      </c>
      <c r="C92" s="100">
        <v>31</v>
      </c>
      <c r="D92" s="101">
        <v>80</v>
      </c>
      <c r="E92" s="101">
        <v>6</v>
      </c>
      <c r="F92" s="101">
        <v>315</v>
      </c>
      <c r="G92" s="101">
        <v>0</v>
      </c>
    </row>
    <row r="93" spans="1:7" x14ac:dyDescent="0.25">
      <c r="A93" s="100">
        <v>92</v>
      </c>
      <c r="B93" s="100">
        <v>0</v>
      </c>
      <c r="C93" s="100">
        <v>41</v>
      </c>
      <c r="D93" s="101">
        <v>165</v>
      </c>
      <c r="E93" s="101">
        <v>3</v>
      </c>
      <c r="F93" s="101">
        <v>323</v>
      </c>
      <c r="G93" s="101">
        <v>1</v>
      </c>
    </row>
    <row r="94" spans="1:7" x14ac:dyDescent="0.25">
      <c r="A94" s="100">
        <v>93</v>
      </c>
      <c r="B94" s="100">
        <v>0</v>
      </c>
      <c r="C94" s="100">
        <v>37</v>
      </c>
      <c r="D94" s="101">
        <v>120</v>
      </c>
      <c r="E94" s="101">
        <v>2</v>
      </c>
      <c r="F94" s="101">
        <v>141</v>
      </c>
      <c r="G94" s="101">
        <v>0</v>
      </c>
    </row>
    <row r="95" spans="1:7" x14ac:dyDescent="0.25">
      <c r="A95" s="100">
        <v>94</v>
      </c>
      <c r="B95" s="100">
        <v>0</v>
      </c>
      <c r="C95" s="100">
        <v>38</v>
      </c>
      <c r="D95" s="101">
        <v>153</v>
      </c>
      <c r="E95" s="101">
        <v>3</v>
      </c>
      <c r="F95" s="101">
        <v>479</v>
      </c>
      <c r="G95" s="101">
        <v>0</v>
      </c>
    </row>
    <row r="96" spans="1:7" x14ac:dyDescent="0.25">
      <c r="A96" s="100">
        <v>95</v>
      </c>
      <c r="B96" s="100">
        <v>0</v>
      </c>
      <c r="C96" s="100">
        <v>32</v>
      </c>
      <c r="D96" s="101">
        <v>81</v>
      </c>
      <c r="E96" s="101">
        <v>3</v>
      </c>
      <c r="F96" s="101">
        <v>44</v>
      </c>
      <c r="G96" s="101">
        <v>0</v>
      </c>
    </row>
    <row r="97" spans="1:7" x14ac:dyDescent="0.25">
      <c r="A97" s="100">
        <v>96</v>
      </c>
      <c r="B97" s="100">
        <v>0</v>
      </c>
      <c r="C97" s="100">
        <v>57</v>
      </c>
      <c r="D97" s="101">
        <v>146</v>
      </c>
      <c r="E97" s="101">
        <v>1</v>
      </c>
      <c r="F97" s="101">
        <v>354</v>
      </c>
      <c r="G97" s="101">
        <v>0</v>
      </c>
    </row>
    <row r="98" spans="1:7" x14ac:dyDescent="0.25">
      <c r="A98" s="100">
        <v>97</v>
      </c>
      <c r="B98" s="100">
        <v>0</v>
      </c>
      <c r="C98" s="100">
        <v>30</v>
      </c>
      <c r="D98" s="101">
        <v>189</v>
      </c>
      <c r="E98" s="101">
        <v>5</v>
      </c>
      <c r="F98" s="101">
        <v>210</v>
      </c>
      <c r="G98" s="101">
        <v>0</v>
      </c>
    </row>
    <row r="99" spans="1:7" x14ac:dyDescent="0.25">
      <c r="A99" s="100">
        <v>98</v>
      </c>
      <c r="B99" s="100">
        <v>1</v>
      </c>
      <c r="C99" s="100">
        <v>38</v>
      </c>
      <c r="D99" s="101">
        <v>254</v>
      </c>
      <c r="E99" s="101">
        <v>7</v>
      </c>
      <c r="F99" s="101">
        <v>708</v>
      </c>
      <c r="G99" s="101">
        <v>1</v>
      </c>
    </row>
    <row r="100" spans="1:7" x14ac:dyDescent="0.25">
      <c r="A100" s="100">
        <v>99</v>
      </c>
      <c r="B100" s="100">
        <v>0</v>
      </c>
      <c r="C100" s="100">
        <v>29</v>
      </c>
      <c r="D100" s="101">
        <v>158</v>
      </c>
      <c r="E100" s="101">
        <v>4</v>
      </c>
      <c r="F100" s="101">
        <v>369</v>
      </c>
      <c r="G100" s="101">
        <v>0</v>
      </c>
    </row>
    <row r="101" spans="1:7" x14ac:dyDescent="0.25">
      <c r="A101" s="100">
        <v>100</v>
      </c>
      <c r="B101" s="100">
        <v>1</v>
      </c>
      <c r="C101" s="100">
        <v>58</v>
      </c>
      <c r="D101" s="101">
        <v>276</v>
      </c>
      <c r="E101" s="101">
        <v>2</v>
      </c>
      <c r="F101" s="101">
        <v>520</v>
      </c>
      <c r="G101" s="101">
        <v>0</v>
      </c>
    </row>
    <row r="102" spans="1:7" x14ac:dyDescent="0.25">
      <c r="A102" s="100">
        <v>101</v>
      </c>
      <c r="B102" s="100">
        <v>0</v>
      </c>
      <c r="C102" s="100">
        <v>20</v>
      </c>
      <c r="D102" s="101">
        <v>37</v>
      </c>
      <c r="E102" s="101">
        <v>4</v>
      </c>
      <c r="F102" s="101">
        <v>173</v>
      </c>
      <c r="G102" s="101">
        <v>0</v>
      </c>
    </row>
    <row r="103" spans="1:7" x14ac:dyDescent="0.25">
      <c r="A103" s="100">
        <v>102</v>
      </c>
      <c r="B103" s="100">
        <v>0</v>
      </c>
      <c r="C103" s="100">
        <v>27</v>
      </c>
      <c r="D103" s="101">
        <v>105</v>
      </c>
      <c r="E103" s="101">
        <v>5</v>
      </c>
      <c r="F103" s="101">
        <v>217</v>
      </c>
      <c r="G103" s="101">
        <v>0</v>
      </c>
    </row>
    <row r="104" spans="1:7" x14ac:dyDescent="0.25">
      <c r="A104" s="100">
        <v>103</v>
      </c>
      <c r="B104" s="100">
        <v>1</v>
      </c>
      <c r="C104" s="100">
        <v>42</v>
      </c>
      <c r="D104" s="101">
        <v>161</v>
      </c>
      <c r="E104" s="101">
        <v>6</v>
      </c>
      <c r="F104" s="101">
        <v>490</v>
      </c>
      <c r="G104" s="101">
        <v>0</v>
      </c>
    </row>
    <row r="105" spans="1:7" x14ac:dyDescent="0.25">
      <c r="A105" s="100">
        <v>104</v>
      </c>
      <c r="B105" s="100">
        <v>0</v>
      </c>
      <c r="C105" s="100">
        <v>38</v>
      </c>
      <c r="D105" s="101">
        <v>175</v>
      </c>
      <c r="E105" s="101">
        <v>7</v>
      </c>
      <c r="F105" s="101">
        <v>287</v>
      </c>
      <c r="G105" s="101">
        <v>0</v>
      </c>
    </row>
    <row r="106" spans="1:7" x14ac:dyDescent="0.25">
      <c r="A106" s="100">
        <v>105</v>
      </c>
      <c r="B106" s="100">
        <v>0</v>
      </c>
      <c r="C106" s="100">
        <v>37</v>
      </c>
      <c r="D106" s="101">
        <v>193</v>
      </c>
      <c r="E106" s="101">
        <v>5</v>
      </c>
      <c r="F106" s="101">
        <v>339</v>
      </c>
      <c r="G106" s="101">
        <v>0</v>
      </c>
    </row>
    <row r="107" spans="1:7" x14ac:dyDescent="0.25">
      <c r="A107" s="100">
        <v>106</v>
      </c>
      <c r="B107" s="100">
        <v>1</v>
      </c>
      <c r="C107" s="100">
        <v>64</v>
      </c>
      <c r="D107" s="101">
        <v>183</v>
      </c>
      <c r="E107" s="101">
        <v>2</v>
      </c>
      <c r="F107" s="101">
        <v>493</v>
      </c>
      <c r="G107" s="101">
        <v>0</v>
      </c>
    </row>
    <row r="108" spans="1:7" x14ac:dyDescent="0.25">
      <c r="A108" s="100">
        <v>107</v>
      </c>
      <c r="B108" s="100">
        <v>0</v>
      </c>
      <c r="C108" s="100">
        <v>44</v>
      </c>
      <c r="D108" s="101">
        <v>85</v>
      </c>
      <c r="E108" s="101">
        <v>1</v>
      </c>
      <c r="F108" s="101">
        <v>131</v>
      </c>
      <c r="G108" s="101">
        <v>0</v>
      </c>
    </row>
    <row r="109" spans="1:7" x14ac:dyDescent="0.25">
      <c r="A109" s="100">
        <v>108</v>
      </c>
      <c r="B109" s="100">
        <v>0</v>
      </c>
      <c r="C109" s="100">
        <v>45</v>
      </c>
      <c r="D109" s="101">
        <v>157</v>
      </c>
      <c r="E109" s="101">
        <v>5</v>
      </c>
      <c r="F109" s="101">
        <v>396</v>
      </c>
      <c r="G109" s="101">
        <v>0</v>
      </c>
    </row>
    <row r="110" spans="1:7" x14ac:dyDescent="0.25">
      <c r="A110" s="100">
        <v>109</v>
      </c>
      <c r="B110" s="100">
        <v>0</v>
      </c>
      <c r="C110" s="100">
        <v>34</v>
      </c>
      <c r="D110" s="101">
        <v>150</v>
      </c>
      <c r="E110" s="101">
        <v>2</v>
      </c>
      <c r="F110" s="101">
        <v>345</v>
      </c>
      <c r="G110" s="101">
        <v>0</v>
      </c>
    </row>
    <row r="111" spans="1:7" x14ac:dyDescent="0.25">
      <c r="A111" s="100">
        <v>110</v>
      </c>
      <c r="B111" s="100">
        <v>0</v>
      </c>
      <c r="C111" s="100">
        <v>46</v>
      </c>
      <c r="D111" s="101">
        <v>92</v>
      </c>
      <c r="E111" s="101">
        <v>1</v>
      </c>
      <c r="F111" s="101">
        <v>434</v>
      </c>
      <c r="G111" s="101">
        <v>0</v>
      </c>
    </row>
    <row r="112" spans="1:7" x14ac:dyDescent="0.25">
      <c r="A112" s="100">
        <v>111</v>
      </c>
      <c r="B112" s="100">
        <v>0</v>
      </c>
      <c r="C112" s="100">
        <v>44</v>
      </c>
      <c r="D112" s="101">
        <v>133</v>
      </c>
      <c r="E112" s="101">
        <v>6</v>
      </c>
      <c r="F112" s="101">
        <v>434</v>
      </c>
      <c r="G112" s="101">
        <v>0</v>
      </c>
    </row>
    <row r="113" spans="1:7" x14ac:dyDescent="0.25">
      <c r="A113" s="100">
        <v>112</v>
      </c>
      <c r="B113" s="100">
        <v>0</v>
      </c>
      <c r="C113" s="100">
        <v>53</v>
      </c>
      <c r="D113" s="101">
        <v>248</v>
      </c>
      <c r="E113" s="101">
        <v>4</v>
      </c>
      <c r="F113" s="101">
        <v>445</v>
      </c>
      <c r="G113" s="101">
        <v>0</v>
      </c>
    </row>
    <row r="114" spans="1:7" x14ac:dyDescent="0.25">
      <c r="A114" s="100">
        <v>113</v>
      </c>
      <c r="B114" s="100">
        <v>1</v>
      </c>
      <c r="C114" s="100">
        <v>58</v>
      </c>
      <c r="D114" s="101">
        <v>308</v>
      </c>
      <c r="E114" s="101">
        <v>5</v>
      </c>
      <c r="F114" s="101">
        <v>592</v>
      </c>
      <c r="G114" s="101">
        <v>0</v>
      </c>
    </row>
    <row r="115" spans="1:7" x14ac:dyDescent="0.25">
      <c r="A115" s="100">
        <v>114</v>
      </c>
      <c r="B115" s="100">
        <v>0</v>
      </c>
      <c r="C115" s="100">
        <v>42</v>
      </c>
      <c r="D115" s="101">
        <v>243</v>
      </c>
      <c r="E115" s="101">
        <v>3</v>
      </c>
      <c r="F115" s="101">
        <v>624</v>
      </c>
      <c r="G115" s="101">
        <v>0</v>
      </c>
    </row>
    <row r="116" spans="1:7" x14ac:dyDescent="0.25">
      <c r="A116" s="100">
        <v>115</v>
      </c>
      <c r="B116" s="100">
        <v>0</v>
      </c>
      <c r="C116" s="100">
        <v>42</v>
      </c>
      <c r="D116" s="101">
        <v>77</v>
      </c>
      <c r="E116" s="101">
        <v>2</v>
      </c>
      <c r="F116" s="101">
        <v>248</v>
      </c>
      <c r="G116" s="101">
        <v>0</v>
      </c>
    </row>
    <row r="117" spans="1:7" x14ac:dyDescent="0.25">
      <c r="A117" s="100">
        <v>116</v>
      </c>
      <c r="B117" s="100">
        <v>0</v>
      </c>
      <c r="C117" s="100">
        <v>50</v>
      </c>
      <c r="D117" s="101">
        <v>81</v>
      </c>
      <c r="E117" s="101">
        <v>0</v>
      </c>
      <c r="F117" s="101">
        <v>382</v>
      </c>
      <c r="G117" s="101">
        <v>0</v>
      </c>
    </row>
    <row r="118" spans="1:7" x14ac:dyDescent="0.25">
      <c r="A118" s="100">
        <v>117</v>
      </c>
      <c r="B118" s="100">
        <v>0</v>
      </c>
      <c r="C118" s="100">
        <v>44</v>
      </c>
      <c r="D118" s="101">
        <v>100</v>
      </c>
      <c r="E118" s="101">
        <v>3</v>
      </c>
      <c r="F118" s="101">
        <v>172</v>
      </c>
      <c r="G118" s="101">
        <v>0</v>
      </c>
    </row>
    <row r="119" spans="1:7" x14ac:dyDescent="0.25">
      <c r="A119" s="100">
        <v>118</v>
      </c>
      <c r="B119" s="100">
        <v>1</v>
      </c>
      <c r="C119" s="100">
        <v>40</v>
      </c>
      <c r="D119" s="101">
        <v>310</v>
      </c>
      <c r="E119" s="101">
        <v>5</v>
      </c>
      <c r="F119" s="101">
        <v>760</v>
      </c>
      <c r="G119" s="101">
        <v>0</v>
      </c>
    </row>
    <row r="120" spans="1:7" x14ac:dyDescent="0.25">
      <c r="A120" s="100">
        <v>119</v>
      </c>
      <c r="B120" s="100">
        <v>0</v>
      </c>
      <c r="C120" s="100">
        <v>30</v>
      </c>
      <c r="D120" s="101">
        <v>190</v>
      </c>
      <c r="E120" s="101">
        <v>2</v>
      </c>
      <c r="F120" s="101">
        <v>358</v>
      </c>
      <c r="G120" s="101">
        <v>0</v>
      </c>
    </row>
    <row r="121" spans="1:7" x14ac:dyDescent="0.25">
      <c r="A121" s="100">
        <v>120</v>
      </c>
      <c r="B121" s="100">
        <v>0</v>
      </c>
      <c r="C121" s="100">
        <v>23</v>
      </c>
      <c r="D121" s="101">
        <v>43</v>
      </c>
      <c r="E121" s="101">
        <v>3</v>
      </c>
      <c r="F121" s="101">
        <v>331</v>
      </c>
      <c r="G121" s="101">
        <v>0</v>
      </c>
    </row>
    <row r="122" spans="1:7" x14ac:dyDescent="0.25">
      <c r="A122" s="100">
        <v>121</v>
      </c>
      <c r="B122" s="100">
        <v>1</v>
      </c>
      <c r="C122" s="100">
        <v>48</v>
      </c>
      <c r="D122" s="101">
        <v>238</v>
      </c>
      <c r="E122" s="101">
        <v>3</v>
      </c>
      <c r="F122" s="101">
        <v>658</v>
      </c>
      <c r="G122" s="101">
        <v>0</v>
      </c>
    </row>
    <row r="123" spans="1:7" x14ac:dyDescent="0.25">
      <c r="A123" s="100">
        <v>122</v>
      </c>
      <c r="B123" s="100">
        <v>0</v>
      </c>
      <c r="C123" s="100">
        <v>43</v>
      </c>
      <c r="D123" s="101">
        <v>160</v>
      </c>
      <c r="E123" s="101">
        <v>2</v>
      </c>
      <c r="F123" s="101">
        <v>365</v>
      </c>
      <c r="G123" s="101">
        <v>0</v>
      </c>
    </row>
    <row r="124" spans="1:7" x14ac:dyDescent="0.25">
      <c r="A124" s="100">
        <v>123</v>
      </c>
      <c r="B124" s="100">
        <v>0</v>
      </c>
      <c r="C124" s="100">
        <v>49</v>
      </c>
      <c r="D124" s="101">
        <v>147</v>
      </c>
      <c r="E124" s="101">
        <v>0</v>
      </c>
      <c r="F124" s="101">
        <v>67</v>
      </c>
      <c r="G124" s="101">
        <v>0</v>
      </c>
    </row>
    <row r="125" spans="1:7" x14ac:dyDescent="0.25">
      <c r="A125" s="100">
        <v>124</v>
      </c>
      <c r="B125" s="100">
        <v>0</v>
      </c>
      <c r="C125" s="100">
        <v>27</v>
      </c>
      <c r="D125" s="101">
        <v>184</v>
      </c>
      <c r="E125" s="101">
        <v>2</v>
      </c>
      <c r="F125" s="101">
        <v>312</v>
      </c>
      <c r="G125" s="101">
        <v>0</v>
      </c>
    </row>
    <row r="126" spans="1:7" x14ac:dyDescent="0.25">
      <c r="A126" s="100">
        <v>125</v>
      </c>
      <c r="B126" s="100">
        <v>0</v>
      </c>
      <c r="C126" s="100">
        <v>40</v>
      </c>
      <c r="D126" s="101">
        <v>172</v>
      </c>
      <c r="E126" s="101">
        <v>2</v>
      </c>
      <c r="F126" s="101">
        <v>413</v>
      </c>
      <c r="G126" s="101">
        <v>0</v>
      </c>
    </row>
    <row r="127" spans="1:7" x14ac:dyDescent="0.25">
      <c r="A127" s="100">
        <v>126</v>
      </c>
      <c r="B127" s="100">
        <v>1</v>
      </c>
      <c r="C127" s="100">
        <v>78</v>
      </c>
      <c r="D127" s="101">
        <v>309</v>
      </c>
      <c r="E127" s="101">
        <v>0</v>
      </c>
      <c r="F127" s="101">
        <v>748</v>
      </c>
      <c r="G127" s="101">
        <v>0</v>
      </c>
    </row>
    <row r="128" spans="1:7" x14ac:dyDescent="0.25">
      <c r="A128" s="100">
        <v>127</v>
      </c>
      <c r="B128" s="100">
        <v>0</v>
      </c>
      <c r="C128" s="100">
        <v>31</v>
      </c>
      <c r="D128" s="101">
        <v>97</v>
      </c>
      <c r="E128" s="101">
        <v>5</v>
      </c>
      <c r="F128" s="101">
        <v>507</v>
      </c>
      <c r="G128" s="101">
        <v>0</v>
      </c>
    </row>
    <row r="129" spans="1:7" x14ac:dyDescent="0.25">
      <c r="A129" s="100">
        <v>128</v>
      </c>
      <c r="B129" s="100">
        <v>0</v>
      </c>
      <c r="C129" s="100">
        <v>45</v>
      </c>
      <c r="D129" s="101">
        <v>111</v>
      </c>
      <c r="E129" s="101">
        <v>3</v>
      </c>
      <c r="F129" s="101">
        <v>299</v>
      </c>
      <c r="G129" s="101">
        <v>0</v>
      </c>
    </row>
    <row r="130" spans="1:7" x14ac:dyDescent="0.25">
      <c r="A130" s="100">
        <v>129</v>
      </c>
      <c r="B130" s="100">
        <v>1</v>
      </c>
      <c r="C130" s="100">
        <v>74</v>
      </c>
      <c r="D130" s="101">
        <v>133</v>
      </c>
      <c r="E130" s="101">
        <v>0</v>
      </c>
      <c r="F130" s="101">
        <v>640</v>
      </c>
      <c r="G130" s="101">
        <v>0</v>
      </c>
    </row>
    <row r="131" spans="1:7" x14ac:dyDescent="0.25">
      <c r="A131" s="100">
        <v>130</v>
      </c>
      <c r="B131" s="100">
        <v>1</v>
      </c>
      <c r="C131" s="100">
        <v>65</v>
      </c>
      <c r="D131" s="101">
        <v>302</v>
      </c>
      <c r="E131" s="101">
        <v>3</v>
      </c>
      <c r="F131" s="101">
        <v>836</v>
      </c>
      <c r="G131" s="101">
        <v>0</v>
      </c>
    </row>
    <row r="132" spans="1:7" x14ac:dyDescent="0.25">
      <c r="A132" s="100">
        <v>131</v>
      </c>
      <c r="B132" s="100">
        <v>0</v>
      </c>
      <c r="C132" s="100">
        <v>59</v>
      </c>
      <c r="D132" s="101">
        <v>42</v>
      </c>
      <c r="E132" s="101">
        <v>0</v>
      </c>
      <c r="F132" s="101">
        <v>224</v>
      </c>
      <c r="G132" s="101">
        <v>0</v>
      </c>
    </row>
    <row r="133" spans="1:7" x14ac:dyDescent="0.25">
      <c r="A133" s="100">
        <v>132</v>
      </c>
      <c r="B133" s="100">
        <v>0</v>
      </c>
      <c r="C133" s="100">
        <v>23</v>
      </c>
      <c r="D133" s="101">
        <v>93</v>
      </c>
      <c r="E133" s="101">
        <v>1</v>
      </c>
      <c r="F133" s="101">
        <v>48</v>
      </c>
      <c r="G133" s="101">
        <v>0</v>
      </c>
    </row>
    <row r="134" spans="1:7" x14ac:dyDescent="0.25">
      <c r="A134" s="100">
        <v>133</v>
      </c>
      <c r="B134" s="100">
        <v>0</v>
      </c>
      <c r="C134" s="100">
        <v>46</v>
      </c>
      <c r="D134" s="101">
        <v>142</v>
      </c>
      <c r="E134" s="101">
        <v>4</v>
      </c>
      <c r="F134" s="101">
        <v>651</v>
      </c>
      <c r="G134" s="101">
        <v>0</v>
      </c>
    </row>
    <row r="135" spans="1:7" x14ac:dyDescent="0.25">
      <c r="A135" s="100">
        <v>134</v>
      </c>
      <c r="B135" s="100">
        <v>0</v>
      </c>
      <c r="C135" s="100">
        <v>26</v>
      </c>
      <c r="D135" s="101">
        <v>84</v>
      </c>
      <c r="E135" s="101">
        <v>1</v>
      </c>
      <c r="F135" s="101">
        <v>0</v>
      </c>
      <c r="G135" s="101">
        <v>0</v>
      </c>
    </row>
    <row r="136" spans="1:7" x14ac:dyDescent="0.25">
      <c r="A136" s="100">
        <v>135</v>
      </c>
      <c r="B136" s="100">
        <v>0</v>
      </c>
      <c r="C136" s="100">
        <v>42</v>
      </c>
      <c r="D136" s="101">
        <v>235</v>
      </c>
      <c r="E136" s="101">
        <v>4</v>
      </c>
      <c r="F136" s="101">
        <v>449</v>
      </c>
      <c r="G136" s="101">
        <v>0</v>
      </c>
    </row>
    <row r="137" spans="1:7" x14ac:dyDescent="0.25">
      <c r="A137" s="100">
        <v>136</v>
      </c>
      <c r="B137" s="100">
        <v>0</v>
      </c>
      <c r="C137" s="100">
        <v>24</v>
      </c>
      <c r="D137" s="101">
        <v>64</v>
      </c>
      <c r="E137" s="101">
        <v>1</v>
      </c>
      <c r="F137" s="101">
        <v>210</v>
      </c>
      <c r="G137" s="101">
        <v>0</v>
      </c>
    </row>
    <row r="138" spans="1:7" x14ac:dyDescent="0.25">
      <c r="A138" s="100">
        <v>137</v>
      </c>
      <c r="B138" s="100">
        <v>0</v>
      </c>
      <c r="C138" s="100">
        <v>65</v>
      </c>
      <c r="D138" s="101">
        <v>129</v>
      </c>
      <c r="E138" s="101">
        <v>4</v>
      </c>
      <c r="F138" s="101">
        <v>389</v>
      </c>
      <c r="G138" s="101">
        <v>0</v>
      </c>
    </row>
    <row r="139" spans="1:7" x14ac:dyDescent="0.25">
      <c r="A139" s="100">
        <v>138</v>
      </c>
      <c r="B139" s="100">
        <v>0</v>
      </c>
      <c r="C139" s="100">
        <v>36</v>
      </c>
      <c r="D139" s="101">
        <v>108</v>
      </c>
      <c r="E139" s="101">
        <v>0</v>
      </c>
      <c r="F139" s="101">
        <v>187</v>
      </c>
      <c r="G139" s="101">
        <v>0</v>
      </c>
    </row>
    <row r="140" spans="1:7" x14ac:dyDescent="0.25">
      <c r="A140" s="100">
        <v>139</v>
      </c>
      <c r="B140" s="100">
        <v>0</v>
      </c>
      <c r="C140" s="100">
        <v>50</v>
      </c>
      <c r="D140" s="101">
        <v>97</v>
      </c>
      <c r="E140" s="101">
        <v>0</v>
      </c>
      <c r="F140" s="101">
        <v>184</v>
      </c>
      <c r="G140" s="101">
        <v>0</v>
      </c>
    </row>
    <row r="141" spans="1:7" x14ac:dyDescent="0.25">
      <c r="A141" s="100">
        <v>140</v>
      </c>
      <c r="B141" s="100">
        <v>1</v>
      </c>
      <c r="C141" s="100">
        <v>50</v>
      </c>
      <c r="D141" s="101">
        <v>205</v>
      </c>
      <c r="E141" s="101">
        <v>5</v>
      </c>
      <c r="F141" s="101">
        <v>402</v>
      </c>
      <c r="G141" s="101">
        <v>0</v>
      </c>
    </row>
    <row r="142" spans="1:7" x14ac:dyDescent="0.25">
      <c r="A142" s="100">
        <v>141</v>
      </c>
      <c r="B142" s="100">
        <v>0</v>
      </c>
      <c r="C142" s="100">
        <v>37</v>
      </c>
      <c r="D142" s="101">
        <v>127</v>
      </c>
      <c r="E142" s="101">
        <v>5</v>
      </c>
      <c r="F142" s="101">
        <v>392</v>
      </c>
      <c r="G142" s="101">
        <v>0</v>
      </c>
    </row>
    <row r="143" spans="1:7" x14ac:dyDescent="0.25">
      <c r="A143" s="100">
        <v>142</v>
      </c>
      <c r="B143" s="100">
        <v>0</v>
      </c>
      <c r="C143" s="100">
        <v>20</v>
      </c>
      <c r="D143" s="101">
        <v>0</v>
      </c>
      <c r="E143" s="101">
        <v>3</v>
      </c>
      <c r="F143" s="101">
        <v>87</v>
      </c>
      <c r="G143" s="101">
        <v>0</v>
      </c>
    </row>
    <row r="144" spans="1:7" x14ac:dyDescent="0.25">
      <c r="A144" s="100">
        <v>143</v>
      </c>
      <c r="B144" s="100">
        <v>1</v>
      </c>
      <c r="C144" s="100">
        <v>50</v>
      </c>
      <c r="D144" s="101">
        <v>118</v>
      </c>
      <c r="E144" s="101">
        <v>3</v>
      </c>
      <c r="F144" s="101">
        <v>561</v>
      </c>
      <c r="G144" s="101">
        <v>1</v>
      </c>
    </row>
    <row r="145" spans="1:7" x14ac:dyDescent="0.25">
      <c r="A145" s="100">
        <v>144</v>
      </c>
      <c r="B145" s="100">
        <v>0</v>
      </c>
      <c r="C145" s="100">
        <v>60</v>
      </c>
      <c r="D145" s="101">
        <v>293</v>
      </c>
      <c r="E145" s="101">
        <v>2</v>
      </c>
      <c r="F145" s="101">
        <v>709</v>
      </c>
      <c r="G145" s="101">
        <v>0</v>
      </c>
    </row>
    <row r="146" spans="1:7" x14ac:dyDescent="0.25">
      <c r="A146" s="100">
        <v>145</v>
      </c>
      <c r="B146" s="100">
        <v>1</v>
      </c>
      <c r="C146" s="100">
        <v>76</v>
      </c>
      <c r="D146" s="101">
        <v>136</v>
      </c>
      <c r="E146" s="101">
        <v>1</v>
      </c>
      <c r="F146" s="101">
        <v>461</v>
      </c>
      <c r="G146" s="101">
        <v>1</v>
      </c>
    </row>
    <row r="147" spans="1:7" x14ac:dyDescent="0.25">
      <c r="A147" s="100">
        <v>146</v>
      </c>
      <c r="B147" s="100">
        <v>0</v>
      </c>
      <c r="C147" s="100">
        <v>29</v>
      </c>
      <c r="D147" s="101">
        <v>26</v>
      </c>
      <c r="E147" s="101">
        <v>2</v>
      </c>
      <c r="F147" s="101">
        <v>134</v>
      </c>
      <c r="G147" s="101">
        <v>0</v>
      </c>
    </row>
    <row r="148" spans="1:7" x14ac:dyDescent="0.25">
      <c r="A148" s="100">
        <v>147</v>
      </c>
      <c r="B148" s="100">
        <v>0</v>
      </c>
      <c r="C148" s="100">
        <v>64</v>
      </c>
      <c r="D148" s="101">
        <v>205</v>
      </c>
      <c r="E148" s="101">
        <v>2</v>
      </c>
      <c r="F148" s="101">
        <v>191</v>
      </c>
      <c r="G148" s="101">
        <v>0</v>
      </c>
    </row>
    <row r="149" spans="1:7" x14ac:dyDescent="0.25">
      <c r="A149" s="100">
        <v>148</v>
      </c>
      <c r="B149" s="100">
        <v>1</v>
      </c>
      <c r="C149" s="100">
        <v>53</v>
      </c>
      <c r="D149" s="101">
        <v>162</v>
      </c>
      <c r="E149" s="101">
        <v>3</v>
      </c>
      <c r="F149" s="101">
        <v>545</v>
      </c>
      <c r="G149" s="101">
        <v>1</v>
      </c>
    </row>
    <row r="150" spans="1:7" x14ac:dyDescent="0.25">
      <c r="A150" s="100">
        <v>149</v>
      </c>
      <c r="B150" s="100">
        <v>1</v>
      </c>
      <c r="C150" s="100">
        <v>70</v>
      </c>
      <c r="D150" s="101">
        <v>325</v>
      </c>
      <c r="E150" s="101">
        <v>1</v>
      </c>
      <c r="F150" s="101">
        <v>436</v>
      </c>
      <c r="G150" s="101">
        <v>0</v>
      </c>
    </row>
    <row r="151" spans="1:7" x14ac:dyDescent="0.25">
      <c r="A151" s="100">
        <v>150</v>
      </c>
      <c r="B151" s="100">
        <v>0</v>
      </c>
      <c r="C151" s="100">
        <v>32</v>
      </c>
      <c r="D151" s="101">
        <v>145</v>
      </c>
      <c r="E151" s="101">
        <v>3</v>
      </c>
      <c r="F151" s="101">
        <v>98</v>
      </c>
      <c r="G151" s="101">
        <v>0</v>
      </c>
    </row>
    <row r="152" spans="1:7" x14ac:dyDescent="0.25">
      <c r="A152" s="100">
        <v>151</v>
      </c>
      <c r="B152" s="100">
        <v>0</v>
      </c>
      <c r="C152" s="100">
        <v>37</v>
      </c>
      <c r="D152" s="101">
        <v>167</v>
      </c>
      <c r="E152" s="101">
        <v>2</v>
      </c>
      <c r="F152" s="101">
        <v>496</v>
      </c>
      <c r="G152" s="101">
        <v>0</v>
      </c>
    </row>
    <row r="153" spans="1:7" x14ac:dyDescent="0.25">
      <c r="A153" s="100">
        <v>152</v>
      </c>
      <c r="B153" s="100">
        <v>1</v>
      </c>
      <c r="C153" s="100">
        <v>59</v>
      </c>
      <c r="D153" s="101">
        <v>221</v>
      </c>
      <c r="E153" s="101">
        <v>3</v>
      </c>
      <c r="F153" s="101">
        <v>626</v>
      </c>
      <c r="G153" s="101">
        <v>1</v>
      </c>
    </row>
    <row r="154" spans="1:7" x14ac:dyDescent="0.25">
      <c r="A154" s="100">
        <v>153</v>
      </c>
      <c r="B154" s="100">
        <v>0</v>
      </c>
      <c r="C154" s="100">
        <v>62</v>
      </c>
      <c r="D154" s="101">
        <v>173</v>
      </c>
      <c r="E154" s="101">
        <v>5</v>
      </c>
      <c r="F154" s="101">
        <v>592</v>
      </c>
      <c r="G154" s="101">
        <v>0</v>
      </c>
    </row>
    <row r="155" spans="1:7" x14ac:dyDescent="0.25">
      <c r="A155" s="100">
        <v>154</v>
      </c>
      <c r="B155" s="100">
        <v>0</v>
      </c>
      <c r="C155" s="100">
        <v>27</v>
      </c>
      <c r="D155" s="101">
        <v>167</v>
      </c>
      <c r="E155" s="101">
        <v>4</v>
      </c>
      <c r="F155" s="101">
        <v>482</v>
      </c>
      <c r="G155" s="101">
        <v>0</v>
      </c>
    </row>
    <row r="156" spans="1:7" x14ac:dyDescent="0.25">
      <c r="A156" s="100">
        <v>155</v>
      </c>
      <c r="B156" s="100">
        <v>0</v>
      </c>
      <c r="C156" s="100">
        <v>58</v>
      </c>
      <c r="D156" s="101">
        <v>203</v>
      </c>
      <c r="E156" s="101">
        <v>3</v>
      </c>
      <c r="F156" s="101">
        <v>331</v>
      </c>
      <c r="G156" s="101">
        <v>0</v>
      </c>
    </row>
    <row r="157" spans="1:7" x14ac:dyDescent="0.25">
      <c r="A157" s="100">
        <v>156</v>
      </c>
      <c r="B157" s="100">
        <v>0</v>
      </c>
      <c r="C157" s="100">
        <v>22</v>
      </c>
      <c r="D157" s="101">
        <v>0</v>
      </c>
      <c r="E157" s="101">
        <v>3</v>
      </c>
      <c r="F157" s="101">
        <v>0</v>
      </c>
      <c r="G157" s="101">
        <v>1</v>
      </c>
    </row>
    <row r="158" spans="1:7" x14ac:dyDescent="0.25">
      <c r="A158" s="100">
        <v>157</v>
      </c>
      <c r="B158" s="100">
        <v>0</v>
      </c>
      <c r="C158" s="100">
        <v>25</v>
      </c>
      <c r="D158" s="101">
        <v>115</v>
      </c>
      <c r="E158" s="101">
        <v>4</v>
      </c>
      <c r="F158" s="101">
        <v>228</v>
      </c>
      <c r="G158" s="101">
        <v>0</v>
      </c>
    </row>
    <row r="159" spans="1:7" x14ac:dyDescent="0.25">
      <c r="A159" s="100">
        <v>158</v>
      </c>
      <c r="B159" s="100">
        <v>0</v>
      </c>
      <c r="C159" s="100">
        <v>57</v>
      </c>
      <c r="D159" s="101">
        <v>102</v>
      </c>
      <c r="E159" s="101">
        <v>2</v>
      </c>
      <c r="F159" s="101">
        <v>237</v>
      </c>
      <c r="G159" s="101">
        <v>0</v>
      </c>
    </row>
    <row r="160" spans="1:7" x14ac:dyDescent="0.25">
      <c r="A160" s="100">
        <v>159</v>
      </c>
      <c r="B160" s="100">
        <v>0</v>
      </c>
      <c r="C160" s="100">
        <v>41</v>
      </c>
      <c r="D160" s="101">
        <v>96</v>
      </c>
      <c r="E160" s="101">
        <v>4</v>
      </c>
      <c r="F160" s="101">
        <v>243</v>
      </c>
      <c r="G160" s="101">
        <v>0</v>
      </c>
    </row>
    <row r="161" spans="1:7" x14ac:dyDescent="0.25">
      <c r="A161" s="100">
        <v>160</v>
      </c>
      <c r="B161" s="100">
        <v>0</v>
      </c>
      <c r="C161" s="100">
        <v>42</v>
      </c>
      <c r="D161" s="101">
        <v>60</v>
      </c>
      <c r="E161" s="101">
        <v>4</v>
      </c>
      <c r="F161" s="101">
        <v>362</v>
      </c>
      <c r="G161" s="101">
        <v>0</v>
      </c>
    </row>
    <row r="162" spans="1:7" x14ac:dyDescent="0.25">
      <c r="A162" s="100">
        <v>161</v>
      </c>
      <c r="B162" s="100">
        <v>0</v>
      </c>
      <c r="C162" s="100">
        <v>35</v>
      </c>
      <c r="D162" s="101">
        <v>138</v>
      </c>
      <c r="E162" s="101">
        <v>1</v>
      </c>
      <c r="F162" s="101">
        <v>430</v>
      </c>
      <c r="G162" s="101">
        <v>0</v>
      </c>
    </row>
    <row r="163" spans="1:7" x14ac:dyDescent="0.25">
      <c r="A163" s="100">
        <v>162</v>
      </c>
      <c r="B163" s="100">
        <v>0</v>
      </c>
      <c r="C163" s="100">
        <v>46</v>
      </c>
      <c r="D163" s="101">
        <v>189</v>
      </c>
      <c r="E163" s="101">
        <v>4</v>
      </c>
      <c r="F163" s="101">
        <v>351</v>
      </c>
      <c r="G163" s="101">
        <v>0</v>
      </c>
    </row>
    <row r="164" spans="1:7" x14ac:dyDescent="0.25">
      <c r="A164" s="100">
        <v>163</v>
      </c>
      <c r="B164" s="100">
        <v>0</v>
      </c>
      <c r="C164" s="100">
        <v>20</v>
      </c>
      <c r="D164" s="101">
        <v>80</v>
      </c>
      <c r="E164" s="101">
        <v>4</v>
      </c>
      <c r="F164" s="101">
        <v>510</v>
      </c>
      <c r="G164" s="101">
        <v>0</v>
      </c>
    </row>
    <row r="165" spans="1:7" x14ac:dyDescent="0.25">
      <c r="A165" s="100">
        <v>164</v>
      </c>
      <c r="B165" s="100">
        <v>0</v>
      </c>
      <c r="C165" s="100">
        <v>49</v>
      </c>
      <c r="D165" s="101">
        <v>16</v>
      </c>
      <c r="E165" s="101">
        <v>3</v>
      </c>
      <c r="F165" s="101">
        <v>68</v>
      </c>
      <c r="G165" s="101">
        <v>0</v>
      </c>
    </row>
    <row r="166" spans="1:7" x14ac:dyDescent="0.25">
      <c r="A166" s="100">
        <v>165</v>
      </c>
      <c r="B166" s="100">
        <v>0</v>
      </c>
      <c r="C166" s="100">
        <v>44</v>
      </c>
      <c r="D166" s="101">
        <v>93</v>
      </c>
      <c r="E166" s="101">
        <v>2</v>
      </c>
      <c r="F166" s="101">
        <v>401</v>
      </c>
      <c r="G166" s="101">
        <v>0</v>
      </c>
    </row>
    <row r="167" spans="1:7" x14ac:dyDescent="0.25">
      <c r="A167" s="100">
        <v>166</v>
      </c>
      <c r="B167" s="100">
        <v>1</v>
      </c>
      <c r="C167" s="100">
        <v>84</v>
      </c>
      <c r="D167" s="101">
        <v>238</v>
      </c>
      <c r="E167" s="101">
        <v>1</v>
      </c>
      <c r="F167" s="101">
        <v>439</v>
      </c>
      <c r="G167" s="101">
        <v>0</v>
      </c>
    </row>
    <row r="168" spans="1:7" x14ac:dyDescent="0.25">
      <c r="A168" s="100">
        <v>167</v>
      </c>
      <c r="B168" s="100">
        <v>0</v>
      </c>
      <c r="C168" s="100">
        <v>46</v>
      </c>
      <c r="D168" s="101">
        <v>88</v>
      </c>
      <c r="E168" s="101">
        <v>2</v>
      </c>
      <c r="F168" s="101">
        <v>181</v>
      </c>
      <c r="G168" s="101">
        <v>0</v>
      </c>
    </row>
    <row r="169" spans="1:7" x14ac:dyDescent="0.25">
      <c r="A169" s="100">
        <v>168</v>
      </c>
      <c r="B169" s="100">
        <v>0</v>
      </c>
      <c r="C169" s="100">
        <v>23</v>
      </c>
      <c r="D169" s="101">
        <v>52</v>
      </c>
      <c r="E169" s="101">
        <v>5</v>
      </c>
      <c r="F169" s="101">
        <v>0</v>
      </c>
      <c r="G169" s="101">
        <v>0</v>
      </c>
    </row>
    <row r="170" spans="1:7" x14ac:dyDescent="0.25">
      <c r="A170" s="100">
        <v>169</v>
      </c>
      <c r="B170" s="100">
        <v>1</v>
      </c>
      <c r="C170" s="100">
        <v>48</v>
      </c>
      <c r="D170" s="101">
        <v>207</v>
      </c>
      <c r="E170" s="101">
        <v>2</v>
      </c>
      <c r="F170" s="101">
        <v>568</v>
      </c>
      <c r="G170" s="101">
        <v>0</v>
      </c>
    </row>
    <row r="171" spans="1:7" x14ac:dyDescent="0.25">
      <c r="A171" s="100">
        <v>170</v>
      </c>
      <c r="B171" s="100">
        <v>0</v>
      </c>
      <c r="C171" s="100">
        <v>74</v>
      </c>
      <c r="D171" s="101">
        <v>221</v>
      </c>
      <c r="E171" s="101">
        <v>0</v>
      </c>
      <c r="F171" s="101">
        <v>351</v>
      </c>
      <c r="G171" s="101">
        <v>0</v>
      </c>
    </row>
    <row r="172" spans="1:7" x14ac:dyDescent="0.25">
      <c r="A172" s="100">
        <v>171</v>
      </c>
      <c r="B172" s="100">
        <v>0</v>
      </c>
      <c r="C172" s="100">
        <v>38</v>
      </c>
      <c r="D172" s="101">
        <v>120</v>
      </c>
      <c r="E172" s="101">
        <v>0</v>
      </c>
      <c r="F172" s="101">
        <v>166</v>
      </c>
      <c r="G172" s="101">
        <v>0</v>
      </c>
    </row>
    <row r="173" spans="1:7" x14ac:dyDescent="0.25">
      <c r="A173" s="100">
        <v>172</v>
      </c>
      <c r="B173" s="100">
        <v>0</v>
      </c>
      <c r="C173" s="100">
        <v>58</v>
      </c>
      <c r="D173" s="101">
        <v>228</v>
      </c>
      <c r="E173" s="101">
        <v>1</v>
      </c>
      <c r="F173" s="101">
        <v>266</v>
      </c>
      <c r="G173" s="101">
        <v>0</v>
      </c>
    </row>
    <row r="174" spans="1:7" x14ac:dyDescent="0.25">
      <c r="A174" s="100">
        <v>173</v>
      </c>
      <c r="B174" s="100">
        <v>0</v>
      </c>
      <c r="C174" s="100">
        <v>42</v>
      </c>
      <c r="D174" s="101">
        <v>147</v>
      </c>
      <c r="E174" s="101">
        <v>2</v>
      </c>
      <c r="F174" s="101">
        <v>421</v>
      </c>
      <c r="G174" s="101">
        <v>1</v>
      </c>
    </row>
    <row r="175" spans="1:7" x14ac:dyDescent="0.25">
      <c r="A175" s="100">
        <v>174</v>
      </c>
      <c r="B175" s="100">
        <v>0</v>
      </c>
      <c r="C175" s="100">
        <v>20</v>
      </c>
      <c r="D175" s="101">
        <v>11</v>
      </c>
      <c r="E175" s="101">
        <v>0</v>
      </c>
      <c r="F175" s="101">
        <v>0</v>
      </c>
      <c r="G175" s="101">
        <v>0</v>
      </c>
    </row>
    <row r="176" spans="1:7" x14ac:dyDescent="0.25">
      <c r="A176" s="100">
        <v>175</v>
      </c>
      <c r="B176" s="100">
        <v>0</v>
      </c>
      <c r="C176" s="100">
        <v>20</v>
      </c>
      <c r="D176" s="101">
        <v>87</v>
      </c>
      <c r="E176" s="101">
        <v>4</v>
      </c>
      <c r="F176" s="101">
        <v>172</v>
      </c>
      <c r="G176" s="101">
        <v>0</v>
      </c>
    </row>
    <row r="177" spans="1:7" x14ac:dyDescent="0.25">
      <c r="A177" s="100">
        <v>176</v>
      </c>
      <c r="B177" s="100">
        <v>0</v>
      </c>
      <c r="C177" s="100">
        <v>52</v>
      </c>
      <c r="D177" s="101">
        <v>66</v>
      </c>
      <c r="E177" s="101">
        <v>1</v>
      </c>
      <c r="F177" s="101">
        <v>67</v>
      </c>
      <c r="G177" s="101">
        <v>1</v>
      </c>
    </row>
    <row r="178" spans="1:7" x14ac:dyDescent="0.25">
      <c r="A178" s="100">
        <v>177</v>
      </c>
      <c r="B178" s="100">
        <v>0</v>
      </c>
      <c r="C178" s="100">
        <v>63</v>
      </c>
      <c r="D178" s="101">
        <v>224</v>
      </c>
      <c r="E178" s="101">
        <v>1</v>
      </c>
      <c r="F178" s="101">
        <v>482</v>
      </c>
      <c r="G178" s="101">
        <v>1</v>
      </c>
    </row>
    <row r="179" spans="1:7" x14ac:dyDescent="0.25">
      <c r="A179" s="100">
        <v>178</v>
      </c>
      <c r="B179" s="100">
        <v>1</v>
      </c>
      <c r="C179" s="100">
        <v>42</v>
      </c>
      <c r="D179" s="101">
        <v>183</v>
      </c>
      <c r="E179" s="101">
        <v>4</v>
      </c>
      <c r="F179" s="101">
        <v>559</v>
      </c>
      <c r="G179" s="101">
        <v>1</v>
      </c>
    </row>
    <row r="180" spans="1:7" x14ac:dyDescent="0.25">
      <c r="A180" s="100">
        <v>179</v>
      </c>
      <c r="B180" s="100">
        <v>0</v>
      </c>
      <c r="C180" s="100">
        <v>25</v>
      </c>
      <c r="D180" s="101">
        <v>87</v>
      </c>
      <c r="E180" s="101">
        <v>4</v>
      </c>
      <c r="F180" s="101">
        <v>132</v>
      </c>
      <c r="G180" s="101">
        <v>0</v>
      </c>
    </row>
    <row r="181" spans="1:7" x14ac:dyDescent="0.25">
      <c r="A181" s="100">
        <v>180</v>
      </c>
      <c r="B181" s="100">
        <v>0</v>
      </c>
      <c r="C181" s="100">
        <v>52</v>
      </c>
      <c r="D181" s="101">
        <v>104</v>
      </c>
      <c r="E181" s="101">
        <v>4</v>
      </c>
      <c r="F181" s="101">
        <v>387</v>
      </c>
      <c r="G181" s="101">
        <v>1</v>
      </c>
    </row>
    <row r="182" spans="1:7" x14ac:dyDescent="0.25">
      <c r="A182" s="100">
        <v>181</v>
      </c>
      <c r="B182" s="100">
        <v>0</v>
      </c>
      <c r="C182" s="100">
        <v>36</v>
      </c>
      <c r="D182" s="101">
        <v>169</v>
      </c>
      <c r="E182" s="101">
        <v>3</v>
      </c>
      <c r="F182" s="101">
        <v>417</v>
      </c>
      <c r="G182" s="101">
        <v>0</v>
      </c>
    </row>
    <row r="183" spans="1:7" x14ac:dyDescent="0.25">
      <c r="A183" s="100">
        <v>182</v>
      </c>
      <c r="B183" s="100">
        <v>0</v>
      </c>
      <c r="C183" s="100">
        <v>42</v>
      </c>
      <c r="D183" s="101">
        <v>117</v>
      </c>
      <c r="E183" s="101">
        <v>2</v>
      </c>
      <c r="F183" s="101">
        <v>506</v>
      </c>
      <c r="G183" s="101">
        <v>1</v>
      </c>
    </row>
    <row r="184" spans="1:7" x14ac:dyDescent="0.25">
      <c r="A184" s="100">
        <v>183</v>
      </c>
      <c r="B184" s="100">
        <v>0</v>
      </c>
      <c r="C184" s="100">
        <v>24</v>
      </c>
      <c r="D184" s="101">
        <v>121</v>
      </c>
      <c r="E184" s="101">
        <v>2</v>
      </c>
      <c r="F184" s="101">
        <v>214</v>
      </c>
      <c r="G184" s="101">
        <v>0</v>
      </c>
    </row>
    <row r="185" spans="1:7" x14ac:dyDescent="0.25">
      <c r="A185" s="100">
        <v>184</v>
      </c>
      <c r="B185" s="100">
        <v>0</v>
      </c>
      <c r="C185" s="100">
        <v>60</v>
      </c>
      <c r="D185" s="101">
        <v>165</v>
      </c>
      <c r="E185" s="101">
        <v>1</v>
      </c>
      <c r="F185" s="101">
        <v>77</v>
      </c>
      <c r="G185" s="101">
        <v>0</v>
      </c>
    </row>
    <row r="186" spans="1:7" x14ac:dyDescent="0.25">
      <c r="A186" s="100">
        <v>185</v>
      </c>
      <c r="B186" s="100">
        <v>0</v>
      </c>
      <c r="C186" s="100">
        <v>67</v>
      </c>
      <c r="D186" s="101">
        <v>88</v>
      </c>
      <c r="E186" s="101">
        <v>1</v>
      </c>
      <c r="F186" s="101">
        <v>131</v>
      </c>
      <c r="G186" s="101">
        <v>0</v>
      </c>
    </row>
    <row r="187" spans="1:7" x14ac:dyDescent="0.25">
      <c r="A187" s="100">
        <v>186</v>
      </c>
      <c r="B187" s="100">
        <v>0</v>
      </c>
      <c r="C187" s="100">
        <v>57</v>
      </c>
      <c r="D187" s="101">
        <v>66</v>
      </c>
      <c r="E187" s="101">
        <v>2</v>
      </c>
      <c r="F187" s="101">
        <v>375</v>
      </c>
      <c r="G187" s="101">
        <v>0</v>
      </c>
    </row>
    <row r="188" spans="1:7" x14ac:dyDescent="0.25">
      <c r="A188" s="100">
        <v>187</v>
      </c>
      <c r="B188" s="100">
        <v>0</v>
      </c>
      <c r="C188" s="100">
        <v>47</v>
      </c>
      <c r="D188" s="101">
        <v>178</v>
      </c>
      <c r="E188" s="101">
        <v>2</v>
      </c>
      <c r="F188" s="101">
        <v>434</v>
      </c>
      <c r="G188" s="101">
        <v>0</v>
      </c>
    </row>
    <row r="189" spans="1:7" x14ac:dyDescent="0.25">
      <c r="A189" s="100">
        <v>188</v>
      </c>
      <c r="B189" s="100">
        <v>0</v>
      </c>
      <c r="C189" s="100">
        <v>35</v>
      </c>
      <c r="D189" s="101">
        <v>191</v>
      </c>
      <c r="E189" s="101">
        <v>5</v>
      </c>
      <c r="F189" s="101">
        <v>223</v>
      </c>
      <c r="G189" s="101">
        <v>0</v>
      </c>
    </row>
    <row r="190" spans="1:7" x14ac:dyDescent="0.25">
      <c r="A190" s="100">
        <v>189</v>
      </c>
      <c r="B190" s="100">
        <v>0</v>
      </c>
      <c r="C190" s="100">
        <v>62</v>
      </c>
      <c r="D190" s="101">
        <v>263</v>
      </c>
      <c r="E190" s="101">
        <v>0</v>
      </c>
      <c r="F190" s="101">
        <v>492</v>
      </c>
      <c r="G190" s="101">
        <v>0</v>
      </c>
    </row>
    <row r="191" spans="1:7" x14ac:dyDescent="0.25">
      <c r="A191" s="100">
        <v>190</v>
      </c>
      <c r="B191" s="100">
        <v>0</v>
      </c>
      <c r="C191" s="100">
        <v>29</v>
      </c>
      <c r="D191" s="101">
        <v>150</v>
      </c>
      <c r="E191" s="101">
        <v>4</v>
      </c>
      <c r="F191" s="101">
        <v>108</v>
      </c>
      <c r="G191" s="101">
        <v>1</v>
      </c>
    </row>
    <row r="192" spans="1:7" x14ac:dyDescent="0.25">
      <c r="A192" s="100">
        <v>191</v>
      </c>
      <c r="B192" s="100">
        <v>0</v>
      </c>
      <c r="C192" s="100">
        <v>45</v>
      </c>
      <c r="D192" s="101">
        <v>84</v>
      </c>
      <c r="E192" s="101">
        <v>4</v>
      </c>
      <c r="F192" s="101">
        <v>0</v>
      </c>
      <c r="G192" s="101">
        <v>0</v>
      </c>
    </row>
    <row r="193" spans="1:7" x14ac:dyDescent="0.25">
      <c r="A193" s="100">
        <v>192</v>
      </c>
      <c r="B193" s="100">
        <v>0</v>
      </c>
      <c r="C193" s="100">
        <v>47</v>
      </c>
      <c r="D193" s="101">
        <v>0</v>
      </c>
      <c r="E193" s="101">
        <v>0</v>
      </c>
      <c r="F193" s="101">
        <v>248</v>
      </c>
      <c r="G193" s="101">
        <v>1</v>
      </c>
    </row>
    <row r="194" spans="1:7" x14ac:dyDescent="0.25">
      <c r="A194" s="100">
        <v>193</v>
      </c>
      <c r="B194" s="100">
        <v>0</v>
      </c>
      <c r="C194" s="100">
        <v>44</v>
      </c>
      <c r="D194" s="101">
        <v>71</v>
      </c>
      <c r="E194" s="101">
        <v>0</v>
      </c>
      <c r="F194" s="101">
        <v>425</v>
      </c>
      <c r="G194" s="101">
        <v>0</v>
      </c>
    </row>
    <row r="195" spans="1:7" x14ac:dyDescent="0.25">
      <c r="A195" s="100">
        <v>194</v>
      </c>
      <c r="B195" s="100">
        <v>1</v>
      </c>
      <c r="C195" s="100">
        <v>53</v>
      </c>
      <c r="D195" s="101">
        <v>221</v>
      </c>
      <c r="E195" s="101">
        <v>5</v>
      </c>
      <c r="F195" s="101">
        <v>652</v>
      </c>
      <c r="G195" s="101">
        <v>0</v>
      </c>
    </row>
    <row r="196" spans="1:7" x14ac:dyDescent="0.25">
      <c r="A196" s="100">
        <v>195</v>
      </c>
      <c r="B196" s="100">
        <v>0</v>
      </c>
      <c r="C196" s="100">
        <v>34</v>
      </c>
      <c r="D196" s="101">
        <v>78</v>
      </c>
      <c r="E196" s="101">
        <v>4</v>
      </c>
      <c r="F196" s="101">
        <v>442</v>
      </c>
      <c r="G196" s="101">
        <v>0</v>
      </c>
    </row>
    <row r="197" spans="1:7" x14ac:dyDescent="0.25">
      <c r="A197" s="100">
        <v>196</v>
      </c>
      <c r="B197" s="100">
        <v>1</v>
      </c>
      <c r="C197" s="100">
        <v>36</v>
      </c>
      <c r="D197" s="101">
        <v>283</v>
      </c>
      <c r="E197" s="101">
        <v>4</v>
      </c>
      <c r="F197" s="101">
        <v>725</v>
      </c>
      <c r="G197" s="101">
        <v>1</v>
      </c>
    </row>
    <row r="198" spans="1:7" x14ac:dyDescent="0.25">
      <c r="A198" s="100">
        <v>197</v>
      </c>
      <c r="B198" s="100">
        <v>0</v>
      </c>
      <c r="C198" s="100">
        <v>55</v>
      </c>
      <c r="D198" s="101">
        <v>170</v>
      </c>
      <c r="E198" s="101">
        <v>1</v>
      </c>
      <c r="F198" s="101">
        <v>254</v>
      </c>
      <c r="G198" s="101">
        <v>0</v>
      </c>
    </row>
    <row r="199" spans="1:7" x14ac:dyDescent="0.25">
      <c r="A199" s="100">
        <v>198</v>
      </c>
      <c r="B199" s="100">
        <v>0</v>
      </c>
      <c r="C199" s="100">
        <v>40</v>
      </c>
      <c r="D199" s="101">
        <v>33</v>
      </c>
      <c r="E199" s="101">
        <v>3</v>
      </c>
      <c r="F199" s="101">
        <v>50</v>
      </c>
      <c r="G199" s="101">
        <v>0</v>
      </c>
    </row>
    <row r="200" spans="1:7" x14ac:dyDescent="0.25">
      <c r="A200" s="100">
        <v>199</v>
      </c>
      <c r="B200" s="100">
        <v>1</v>
      </c>
      <c r="C200" s="100">
        <v>50</v>
      </c>
      <c r="D200" s="101">
        <v>157</v>
      </c>
      <c r="E200" s="101">
        <v>4</v>
      </c>
      <c r="F200" s="101">
        <v>325</v>
      </c>
      <c r="G200" s="101">
        <v>1</v>
      </c>
    </row>
    <row r="201" spans="1:7" x14ac:dyDescent="0.25">
      <c r="A201" s="100">
        <v>200</v>
      </c>
      <c r="B201" s="100">
        <v>0</v>
      </c>
      <c r="C201" s="100">
        <v>20</v>
      </c>
      <c r="D201" s="101">
        <v>0</v>
      </c>
      <c r="E201" s="101">
        <v>3</v>
      </c>
      <c r="F201" s="101">
        <v>146</v>
      </c>
      <c r="G201" s="101">
        <v>0</v>
      </c>
    </row>
    <row r="202" spans="1:7" x14ac:dyDescent="0.25">
      <c r="A202" s="100">
        <v>201</v>
      </c>
      <c r="B202" s="100">
        <v>0</v>
      </c>
      <c r="C202" s="100">
        <v>36</v>
      </c>
      <c r="D202" s="101">
        <v>79</v>
      </c>
      <c r="E202" s="101">
        <v>0</v>
      </c>
      <c r="F202" s="100">
        <v>297</v>
      </c>
      <c r="G202" s="100">
        <v>0</v>
      </c>
    </row>
    <row r="203" spans="1:7" x14ac:dyDescent="0.25">
      <c r="A203" s="100">
        <v>202</v>
      </c>
      <c r="B203" s="100">
        <v>0</v>
      </c>
      <c r="C203" s="100">
        <v>53</v>
      </c>
      <c r="D203" s="101">
        <v>159</v>
      </c>
      <c r="E203" s="101">
        <v>2</v>
      </c>
      <c r="F203" s="100">
        <v>369</v>
      </c>
      <c r="G203" s="100">
        <v>0</v>
      </c>
    </row>
    <row r="204" spans="1:7" x14ac:dyDescent="0.25">
      <c r="A204" s="100">
        <v>203</v>
      </c>
      <c r="B204" s="100">
        <v>0</v>
      </c>
      <c r="C204" s="100">
        <v>40</v>
      </c>
      <c r="D204" s="101">
        <v>152</v>
      </c>
      <c r="E204" s="101">
        <v>7</v>
      </c>
      <c r="F204" s="100">
        <v>496</v>
      </c>
      <c r="G204" s="100">
        <v>0</v>
      </c>
    </row>
    <row r="205" spans="1:7" x14ac:dyDescent="0.25">
      <c r="A205" s="100">
        <v>204</v>
      </c>
      <c r="B205" s="100">
        <v>1</v>
      </c>
      <c r="C205" s="100">
        <v>43</v>
      </c>
      <c r="D205" s="101">
        <v>231</v>
      </c>
      <c r="E205" s="101">
        <v>2</v>
      </c>
      <c r="F205" s="100">
        <v>717</v>
      </c>
      <c r="G205" s="100">
        <v>0</v>
      </c>
    </row>
    <row r="206" spans="1:7" x14ac:dyDescent="0.25">
      <c r="A206" s="100">
        <v>205</v>
      </c>
      <c r="B206" s="100">
        <v>0</v>
      </c>
      <c r="C206" s="100">
        <v>44</v>
      </c>
      <c r="D206" s="101">
        <v>169</v>
      </c>
      <c r="E206" s="101">
        <v>2</v>
      </c>
      <c r="F206" s="100">
        <v>264</v>
      </c>
      <c r="G206" s="100">
        <v>1</v>
      </c>
    </row>
    <row r="207" spans="1:7" x14ac:dyDescent="0.25">
      <c r="A207" s="100">
        <v>206</v>
      </c>
      <c r="B207" s="100">
        <v>0</v>
      </c>
      <c r="C207" s="100">
        <v>55</v>
      </c>
      <c r="D207" s="101">
        <v>94</v>
      </c>
      <c r="E207" s="101">
        <v>0</v>
      </c>
      <c r="F207" s="100">
        <v>426</v>
      </c>
      <c r="G207" s="100">
        <v>1</v>
      </c>
    </row>
    <row r="208" spans="1:7" x14ac:dyDescent="0.25">
      <c r="A208" s="100">
        <v>207</v>
      </c>
      <c r="B208" s="100">
        <v>1</v>
      </c>
      <c r="C208" s="100">
        <v>33</v>
      </c>
      <c r="D208" s="101">
        <v>49</v>
      </c>
      <c r="E208" s="101">
        <v>2</v>
      </c>
      <c r="F208" s="100">
        <v>484</v>
      </c>
      <c r="G208" s="100">
        <v>0</v>
      </c>
    </row>
    <row r="209" spans="1:7" x14ac:dyDescent="0.25">
      <c r="A209" s="100">
        <v>208</v>
      </c>
      <c r="B209" s="100">
        <v>1</v>
      </c>
      <c r="C209" s="100">
        <v>50</v>
      </c>
      <c r="D209" s="101">
        <v>179</v>
      </c>
      <c r="E209" s="101">
        <v>3</v>
      </c>
      <c r="F209" s="100">
        <v>475</v>
      </c>
      <c r="G209" s="100">
        <v>1</v>
      </c>
    </row>
    <row r="210" spans="1:7" x14ac:dyDescent="0.25">
      <c r="A210" s="100">
        <v>209</v>
      </c>
      <c r="B210" s="100">
        <v>1</v>
      </c>
      <c r="C210" s="100">
        <v>42</v>
      </c>
      <c r="D210" s="101">
        <v>89</v>
      </c>
      <c r="E210" s="101">
        <v>0</v>
      </c>
      <c r="F210" s="100">
        <v>340</v>
      </c>
      <c r="G210" s="100">
        <v>0</v>
      </c>
    </row>
    <row r="211" spans="1:7" x14ac:dyDescent="0.25">
      <c r="A211" s="100">
        <v>210</v>
      </c>
      <c r="B211" s="100">
        <v>0</v>
      </c>
      <c r="C211" s="100">
        <v>53</v>
      </c>
      <c r="D211" s="101">
        <v>13</v>
      </c>
      <c r="E211" s="101">
        <v>0</v>
      </c>
      <c r="F211" s="100">
        <v>364</v>
      </c>
      <c r="G211" s="100">
        <v>0</v>
      </c>
    </row>
    <row r="212" spans="1:7" x14ac:dyDescent="0.25">
      <c r="A212" s="100">
        <v>211</v>
      </c>
      <c r="B212" s="100">
        <v>0</v>
      </c>
      <c r="C212" s="100">
        <v>31</v>
      </c>
      <c r="D212" s="101">
        <v>164</v>
      </c>
      <c r="E212" s="101">
        <v>5</v>
      </c>
      <c r="F212" s="100">
        <v>110</v>
      </c>
      <c r="G212" s="100">
        <v>0</v>
      </c>
    </row>
    <row r="213" spans="1:7" x14ac:dyDescent="0.25">
      <c r="A213" s="100">
        <v>212</v>
      </c>
      <c r="B213" s="100">
        <v>1</v>
      </c>
      <c r="C213" s="100">
        <v>52</v>
      </c>
      <c r="D213" s="101">
        <v>107</v>
      </c>
      <c r="E213" s="101">
        <v>3</v>
      </c>
      <c r="F213" s="100">
        <v>398</v>
      </c>
      <c r="G213" s="100">
        <v>0</v>
      </c>
    </row>
    <row r="214" spans="1:7" x14ac:dyDescent="0.25">
      <c r="A214" s="100">
        <v>213</v>
      </c>
      <c r="B214" s="100">
        <v>0</v>
      </c>
      <c r="C214" s="100">
        <v>59</v>
      </c>
      <c r="D214" s="101">
        <v>68</v>
      </c>
      <c r="E214" s="101">
        <v>3</v>
      </c>
      <c r="F214" s="100">
        <v>83</v>
      </c>
      <c r="G214" s="100">
        <v>0</v>
      </c>
    </row>
    <row r="215" spans="1:7" x14ac:dyDescent="0.25">
      <c r="A215" s="100">
        <v>214</v>
      </c>
      <c r="B215" s="100">
        <v>1</v>
      </c>
      <c r="C215" s="100">
        <v>28</v>
      </c>
      <c r="D215" s="101">
        <v>304</v>
      </c>
      <c r="E215" s="101">
        <v>1</v>
      </c>
      <c r="F215" s="100">
        <v>713</v>
      </c>
      <c r="G215" s="100">
        <v>0</v>
      </c>
    </row>
    <row r="216" spans="1:7" x14ac:dyDescent="0.25">
      <c r="A216" s="100">
        <v>215</v>
      </c>
      <c r="B216" s="100">
        <v>0</v>
      </c>
      <c r="C216" s="100">
        <v>43</v>
      </c>
      <c r="D216" s="101">
        <v>193</v>
      </c>
      <c r="E216" s="101">
        <v>4</v>
      </c>
      <c r="F216" s="100">
        <v>459</v>
      </c>
      <c r="G216" s="100">
        <v>0</v>
      </c>
    </row>
    <row r="217" spans="1:7" x14ac:dyDescent="0.25">
      <c r="A217" s="100">
        <v>216</v>
      </c>
      <c r="B217" s="100">
        <v>0</v>
      </c>
      <c r="C217" s="100">
        <v>30</v>
      </c>
      <c r="D217" s="101">
        <v>36</v>
      </c>
      <c r="E217" s="101">
        <v>4</v>
      </c>
      <c r="F217" s="100">
        <v>248</v>
      </c>
      <c r="G217" s="100">
        <v>1</v>
      </c>
    </row>
    <row r="218" spans="1:7" x14ac:dyDescent="0.25">
      <c r="A218" s="100">
        <v>217</v>
      </c>
      <c r="B218" s="100">
        <v>0</v>
      </c>
      <c r="C218" s="100">
        <v>68</v>
      </c>
      <c r="D218" s="101">
        <v>151</v>
      </c>
      <c r="E218" s="101">
        <v>5</v>
      </c>
      <c r="F218" s="100">
        <v>314</v>
      </c>
      <c r="G218" s="100">
        <v>0</v>
      </c>
    </row>
    <row r="219" spans="1:7" x14ac:dyDescent="0.25">
      <c r="A219" s="100">
        <v>218</v>
      </c>
      <c r="B219" s="100">
        <v>1</v>
      </c>
      <c r="C219" s="100">
        <v>65</v>
      </c>
      <c r="D219" s="101">
        <v>225</v>
      </c>
      <c r="E219" s="101">
        <v>1</v>
      </c>
      <c r="F219" s="100">
        <v>536</v>
      </c>
      <c r="G219" s="100">
        <v>0</v>
      </c>
    </row>
    <row r="220" spans="1:7" x14ac:dyDescent="0.25">
      <c r="A220" s="100">
        <v>219</v>
      </c>
      <c r="B220" s="100">
        <v>0</v>
      </c>
      <c r="C220" s="100">
        <v>31</v>
      </c>
      <c r="D220" s="101">
        <v>104</v>
      </c>
      <c r="E220" s="101">
        <v>1</v>
      </c>
      <c r="F220" s="100">
        <v>536</v>
      </c>
      <c r="G220" s="100">
        <v>0</v>
      </c>
    </row>
    <row r="221" spans="1:7" x14ac:dyDescent="0.25">
      <c r="A221" s="100">
        <v>220</v>
      </c>
      <c r="B221" s="100">
        <v>0</v>
      </c>
      <c r="C221" s="100">
        <v>23</v>
      </c>
      <c r="D221" s="101">
        <v>41</v>
      </c>
      <c r="E221" s="101">
        <v>4</v>
      </c>
      <c r="F221" s="100">
        <v>0</v>
      </c>
      <c r="G221" s="100">
        <v>0</v>
      </c>
    </row>
    <row r="222" spans="1:7" x14ac:dyDescent="0.25">
      <c r="A222" s="100">
        <v>221</v>
      </c>
      <c r="B222" s="100">
        <v>0</v>
      </c>
      <c r="C222" s="100">
        <v>38</v>
      </c>
      <c r="D222" s="101">
        <v>27</v>
      </c>
      <c r="E222" s="101">
        <v>3</v>
      </c>
      <c r="F222" s="100">
        <v>136</v>
      </c>
      <c r="G222" s="100">
        <v>0</v>
      </c>
    </row>
    <row r="223" spans="1:7" x14ac:dyDescent="0.25">
      <c r="A223" s="100">
        <v>222</v>
      </c>
      <c r="B223" s="100">
        <v>0</v>
      </c>
      <c r="C223" s="100">
        <v>22</v>
      </c>
      <c r="D223" s="101">
        <v>175</v>
      </c>
      <c r="E223" s="101">
        <v>3</v>
      </c>
      <c r="F223" s="100">
        <v>380</v>
      </c>
      <c r="G223" s="100">
        <v>0</v>
      </c>
    </row>
    <row r="224" spans="1:7" x14ac:dyDescent="0.25">
      <c r="A224" s="100">
        <v>223</v>
      </c>
      <c r="B224" s="100">
        <v>1</v>
      </c>
      <c r="C224" s="100">
        <v>60</v>
      </c>
      <c r="D224" s="101">
        <v>269</v>
      </c>
      <c r="E224" s="101">
        <v>4</v>
      </c>
      <c r="F224" s="100">
        <v>534</v>
      </c>
      <c r="G224" s="100">
        <v>0</v>
      </c>
    </row>
    <row r="225" spans="1:7" x14ac:dyDescent="0.25">
      <c r="A225" s="100">
        <v>224</v>
      </c>
      <c r="B225" s="100">
        <v>0</v>
      </c>
      <c r="C225" s="100">
        <v>62</v>
      </c>
      <c r="D225" s="101">
        <v>85</v>
      </c>
      <c r="E225" s="101">
        <v>2</v>
      </c>
      <c r="F225" s="100">
        <v>341</v>
      </c>
      <c r="G225" s="100">
        <v>0</v>
      </c>
    </row>
    <row r="226" spans="1:7" x14ac:dyDescent="0.25">
      <c r="A226" s="100">
        <v>225</v>
      </c>
      <c r="B226" s="100">
        <v>0</v>
      </c>
      <c r="C226" s="100">
        <v>64</v>
      </c>
      <c r="D226" s="101">
        <v>110</v>
      </c>
      <c r="E226" s="101">
        <v>0</v>
      </c>
      <c r="F226" s="100">
        <v>407</v>
      </c>
      <c r="G226" s="100">
        <v>1</v>
      </c>
    </row>
    <row r="227" spans="1:7" x14ac:dyDescent="0.25">
      <c r="A227" s="100">
        <v>226</v>
      </c>
      <c r="B227" s="100">
        <v>0</v>
      </c>
      <c r="C227" s="100">
        <v>21</v>
      </c>
      <c r="D227" s="101">
        <v>60</v>
      </c>
      <c r="E227" s="101">
        <v>3</v>
      </c>
      <c r="F227" s="100">
        <v>426</v>
      </c>
      <c r="G227" s="100">
        <v>0</v>
      </c>
    </row>
    <row r="228" spans="1:7" x14ac:dyDescent="0.25">
      <c r="A228" s="100">
        <v>227</v>
      </c>
      <c r="B228" s="100">
        <v>0</v>
      </c>
      <c r="C228" s="100">
        <v>20</v>
      </c>
      <c r="D228" s="101">
        <v>45</v>
      </c>
      <c r="E228" s="101">
        <v>3</v>
      </c>
      <c r="F228" s="100">
        <v>245</v>
      </c>
      <c r="G228" s="100">
        <v>1</v>
      </c>
    </row>
    <row r="229" spans="1:7" x14ac:dyDescent="0.25">
      <c r="A229" s="100">
        <v>228</v>
      </c>
      <c r="B229" s="100">
        <v>0</v>
      </c>
      <c r="C229" s="100">
        <v>68</v>
      </c>
      <c r="D229" s="101">
        <v>60</v>
      </c>
      <c r="E229" s="101">
        <v>0</v>
      </c>
      <c r="F229" s="100">
        <v>158</v>
      </c>
      <c r="G229" s="100">
        <v>0</v>
      </c>
    </row>
    <row r="230" spans="1:7" x14ac:dyDescent="0.25">
      <c r="A230" s="100">
        <v>229</v>
      </c>
      <c r="B230" s="100">
        <v>1</v>
      </c>
      <c r="C230" s="100">
        <v>54</v>
      </c>
      <c r="D230" s="101">
        <v>206</v>
      </c>
      <c r="E230" s="101">
        <v>4</v>
      </c>
      <c r="F230" s="100">
        <v>630</v>
      </c>
      <c r="G230" s="100">
        <v>0</v>
      </c>
    </row>
    <row r="231" spans="1:7" x14ac:dyDescent="0.25">
      <c r="A231" s="100">
        <v>230</v>
      </c>
      <c r="B231" s="100">
        <v>0</v>
      </c>
      <c r="C231" s="100">
        <v>30</v>
      </c>
      <c r="D231" s="101">
        <v>112</v>
      </c>
      <c r="E231" s="101">
        <v>4</v>
      </c>
      <c r="F231" s="100">
        <v>194</v>
      </c>
      <c r="G231" s="100">
        <v>0</v>
      </c>
    </row>
    <row r="232" spans="1:7" x14ac:dyDescent="0.25">
      <c r="A232" s="100">
        <v>231</v>
      </c>
      <c r="B232" s="100">
        <v>0</v>
      </c>
      <c r="C232" s="100">
        <v>44</v>
      </c>
      <c r="D232" s="101">
        <v>0</v>
      </c>
      <c r="E232" s="101">
        <v>0</v>
      </c>
      <c r="F232" s="100">
        <v>0</v>
      </c>
      <c r="G232" s="100">
        <v>0</v>
      </c>
    </row>
    <row r="233" spans="1:7" x14ac:dyDescent="0.25">
      <c r="A233" s="100">
        <v>232</v>
      </c>
      <c r="B233" s="100">
        <v>0</v>
      </c>
      <c r="C233" s="100">
        <v>32</v>
      </c>
      <c r="D233" s="101">
        <v>168</v>
      </c>
      <c r="E233" s="101">
        <v>5</v>
      </c>
      <c r="F233" s="100">
        <v>289</v>
      </c>
      <c r="G233" s="100">
        <v>0</v>
      </c>
    </row>
    <row r="234" spans="1:7" x14ac:dyDescent="0.25">
      <c r="A234" s="100">
        <v>233</v>
      </c>
      <c r="B234" s="100">
        <v>1</v>
      </c>
      <c r="C234" s="100">
        <v>72</v>
      </c>
      <c r="D234" s="101">
        <v>214</v>
      </c>
      <c r="E234" s="101">
        <v>1</v>
      </c>
      <c r="F234" s="100">
        <v>438</v>
      </c>
      <c r="G234" s="100">
        <v>0</v>
      </c>
    </row>
    <row r="235" spans="1:7" x14ac:dyDescent="0.25">
      <c r="A235" s="100">
        <v>234</v>
      </c>
      <c r="B235" s="100">
        <v>0</v>
      </c>
      <c r="C235" s="100">
        <v>44</v>
      </c>
      <c r="D235" s="101">
        <v>226</v>
      </c>
      <c r="E235" s="101">
        <v>4</v>
      </c>
      <c r="F235" s="100">
        <v>473</v>
      </c>
      <c r="G235" s="100">
        <v>0</v>
      </c>
    </row>
    <row r="236" spans="1:7" x14ac:dyDescent="0.25">
      <c r="A236" s="100">
        <v>235</v>
      </c>
      <c r="B236" s="100">
        <v>0</v>
      </c>
      <c r="C236" s="100">
        <v>32</v>
      </c>
      <c r="D236" s="101">
        <v>81</v>
      </c>
      <c r="E236" s="101">
        <v>3</v>
      </c>
      <c r="F236" s="100">
        <v>112</v>
      </c>
      <c r="G236" s="100">
        <v>1</v>
      </c>
    </row>
    <row r="237" spans="1:7" x14ac:dyDescent="0.25">
      <c r="A237" s="100">
        <v>236</v>
      </c>
      <c r="B237" s="100">
        <v>0</v>
      </c>
      <c r="C237" s="100">
        <v>53</v>
      </c>
      <c r="D237" s="101">
        <v>77</v>
      </c>
      <c r="E237" s="101">
        <v>5</v>
      </c>
      <c r="F237" s="100">
        <v>198</v>
      </c>
      <c r="G237" s="100">
        <v>0</v>
      </c>
    </row>
    <row r="238" spans="1:7" x14ac:dyDescent="0.25">
      <c r="A238" s="100">
        <v>237</v>
      </c>
      <c r="B238" s="100">
        <v>0</v>
      </c>
      <c r="C238" s="100">
        <v>24</v>
      </c>
      <c r="D238" s="101">
        <v>241</v>
      </c>
      <c r="E238" s="101">
        <v>1</v>
      </c>
      <c r="F238" s="100">
        <v>571</v>
      </c>
      <c r="G238" s="100">
        <v>0</v>
      </c>
    </row>
    <row r="239" spans="1:7" x14ac:dyDescent="0.25">
      <c r="A239" s="100">
        <v>238</v>
      </c>
      <c r="B239" s="100">
        <v>0</v>
      </c>
      <c r="C239" s="100">
        <v>42</v>
      </c>
      <c r="D239" s="101">
        <v>126</v>
      </c>
      <c r="E239" s="101">
        <v>3</v>
      </c>
      <c r="F239" s="100">
        <v>322</v>
      </c>
      <c r="G239" s="100">
        <v>0</v>
      </c>
    </row>
    <row r="240" spans="1:7" x14ac:dyDescent="0.25">
      <c r="A240" s="100">
        <v>239</v>
      </c>
      <c r="B240" s="100">
        <v>1</v>
      </c>
      <c r="C240" s="100">
        <v>67</v>
      </c>
      <c r="D240" s="101">
        <v>205</v>
      </c>
      <c r="E240" s="101">
        <v>1</v>
      </c>
      <c r="F240" s="100">
        <v>665</v>
      </c>
      <c r="G240" s="100">
        <v>0</v>
      </c>
    </row>
    <row r="241" spans="1:7" x14ac:dyDescent="0.25">
      <c r="A241" s="100">
        <v>240</v>
      </c>
      <c r="B241" s="100">
        <v>0</v>
      </c>
      <c r="C241" s="100">
        <v>40</v>
      </c>
      <c r="D241" s="101">
        <v>103</v>
      </c>
      <c r="E241" s="101">
        <v>0</v>
      </c>
      <c r="F241" s="100">
        <v>123</v>
      </c>
      <c r="G241" s="100">
        <v>0</v>
      </c>
    </row>
    <row r="242" spans="1:7" x14ac:dyDescent="0.25">
      <c r="A242" s="100">
        <v>241</v>
      </c>
      <c r="B242" s="100">
        <v>0</v>
      </c>
      <c r="C242" s="100">
        <v>32</v>
      </c>
      <c r="D242" s="101">
        <v>108</v>
      </c>
      <c r="E242" s="101">
        <v>4</v>
      </c>
      <c r="F242" s="100">
        <v>389</v>
      </c>
      <c r="G242" s="100">
        <v>1</v>
      </c>
    </row>
    <row r="243" spans="1:7" x14ac:dyDescent="0.25">
      <c r="A243" s="100">
        <v>242</v>
      </c>
      <c r="B243" s="100">
        <v>0</v>
      </c>
      <c r="C243" s="100">
        <v>67</v>
      </c>
      <c r="D243" s="101">
        <v>191</v>
      </c>
      <c r="E243" s="101">
        <v>0</v>
      </c>
      <c r="F243" s="100">
        <v>468</v>
      </c>
      <c r="G243" s="100">
        <v>0</v>
      </c>
    </row>
    <row r="244" spans="1:7" x14ac:dyDescent="0.25">
      <c r="A244" s="100">
        <v>243</v>
      </c>
      <c r="B244" s="100">
        <v>0</v>
      </c>
      <c r="C244" s="100">
        <v>56</v>
      </c>
      <c r="D244" s="101">
        <v>149</v>
      </c>
      <c r="E244" s="101">
        <v>4</v>
      </c>
      <c r="F244" s="100">
        <v>286</v>
      </c>
      <c r="G244" s="100">
        <v>0</v>
      </c>
    </row>
    <row r="245" spans="1:7" x14ac:dyDescent="0.25">
      <c r="A245" s="100">
        <v>244</v>
      </c>
      <c r="B245" s="100">
        <v>1</v>
      </c>
      <c r="C245" s="100">
        <v>44</v>
      </c>
      <c r="D245" s="101">
        <v>209</v>
      </c>
      <c r="E245" s="101">
        <v>2</v>
      </c>
      <c r="F245" s="100">
        <v>545</v>
      </c>
      <c r="G245" s="100">
        <v>1</v>
      </c>
    </row>
    <row r="246" spans="1:7" x14ac:dyDescent="0.25">
      <c r="A246" s="100">
        <v>245</v>
      </c>
      <c r="B246" s="100">
        <v>0</v>
      </c>
      <c r="C246" s="100">
        <v>42</v>
      </c>
      <c r="D246" s="101">
        <v>70</v>
      </c>
      <c r="E246" s="101">
        <v>2</v>
      </c>
      <c r="F246" s="100">
        <v>309</v>
      </c>
      <c r="G246" s="100">
        <v>0</v>
      </c>
    </row>
    <row r="247" spans="1:7" x14ac:dyDescent="0.25">
      <c r="A247" s="100">
        <v>246</v>
      </c>
      <c r="B247" s="100">
        <v>0</v>
      </c>
      <c r="C247" s="100">
        <v>27</v>
      </c>
      <c r="D247" s="101">
        <v>66</v>
      </c>
      <c r="E247" s="101">
        <v>6</v>
      </c>
      <c r="F247" s="100">
        <v>108</v>
      </c>
      <c r="G247" s="100">
        <v>0</v>
      </c>
    </row>
    <row r="248" spans="1:7" x14ac:dyDescent="0.25">
      <c r="A248" s="100">
        <v>247</v>
      </c>
      <c r="B248" s="100">
        <v>1</v>
      </c>
      <c r="C248" s="100">
        <v>74</v>
      </c>
      <c r="D248" s="101">
        <v>260</v>
      </c>
      <c r="E248" s="101">
        <v>0</v>
      </c>
      <c r="F248" s="100">
        <v>788</v>
      </c>
      <c r="G248" s="100">
        <v>1</v>
      </c>
    </row>
    <row r="249" spans="1:7" x14ac:dyDescent="0.25">
      <c r="A249" s="100">
        <v>248</v>
      </c>
      <c r="B249" s="100">
        <v>0</v>
      </c>
      <c r="C249" s="100">
        <v>26</v>
      </c>
      <c r="D249" s="101">
        <v>6</v>
      </c>
      <c r="E249" s="101">
        <v>3</v>
      </c>
      <c r="F249" s="100">
        <v>0</v>
      </c>
      <c r="G249" s="100">
        <v>0</v>
      </c>
    </row>
    <row r="250" spans="1:7" x14ac:dyDescent="0.25">
      <c r="A250" s="100">
        <v>249</v>
      </c>
      <c r="B250" s="100">
        <v>0</v>
      </c>
      <c r="C250" s="100">
        <v>53</v>
      </c>
      <c r="D250" s="101">
        <v>202</v>
      </c>
      <c r="E250" s="101">
        <v>1</v>
      </c>
      <c r="F250" s="100">
        <v>261</v>
      </c>
      <c r="G250" s="100">
        <v>0</v>
      </c>
    </row>
    <row r="251" spans="1:7" x14ac:dyDescent="0.25">
      <c r="A251" s="100">
        <v>250</v>
      </c>
      <c r="B251" s="100">
        <v>0</v>
      </c>
      <c r="C251" s="100">
        <v>34</v>
      </c>
      <c r="D251" s="101">
        <v>124</v>
      </c>
      <c r="E251" s="101">
        <v>5</v>
      </c>
      <c r="F251" s="100">
        <v>357</v>
      </c>
      <c r="G251" s="100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0788E-9E00-4DEE-A018-DDCE3DB05A4D}">
  <dimension ref="A1:I52"/>
  <sheetViews>
    <sheetView workbookViewId="0">
      <selection activeCell="L2" sqref="L2"/>
    </sheetView>
  </sheetViews>
  <sheetFormatPr defaultRowHeight="15" x14ac:dyDescent="0.25"/>
  <sheetData>
    <row r="1" spans="1:9" ht="135" x14ac:dyDescent="0.25">
      <c r="A1" t="s">
        <v>501</v>
      </c>
      <c r="B1" s="132" t="s">
        <v>493</v>
      </c>
      <c r="C1" s="133" t="s">
        <v>494</v>
      </c>
      <c r="D1" s="134" t="s">
        <v>495</v>
      </c>
      <c r="E1" s="133" t="s">
        <v>496</v>
      </c>
      <c r="F1" s="135" t="s">
        <v>497</v>
      </c>
      <c r="G1" s="135" t="s">
        <v>498</v>
      </c>
      <c r="H1" s="135" t="s">
        <v>499</v>
      </c>
      <c r="I1" s="135" t="s">
        <v>500</v>
      </c>
    </row>
    <row r="2" spans="1:9" ht="45" x14ac:dyDescent="0.25">
      <c r="A2" s="102" t="s">
        <v>214</v>
      </c>
      <c r="B2" s="103" t="s">
        <v>485</v>
      </c>
      <c r="C2" s="104" t="s">
        <v>486</v>
      </c>
      <c r="D2" s="105" t="s">
        <v>487</v>
      </c>
      <c r="E2" s="104" t="s">
        <v>488</v>
      </c>
      <c r="F2" s="104" t="s">
        <v>489</v>
      </c>
      <c r="G2" s="104" t="s">
        <v>490</v>
      </c>
      <c r="H2" s="104" t="s">
        <v>491</v>
      </c>
      <c r="I2" s="106" t="s">
        <v>492</v>
      </c>
    </row>
    <row r="3" spans="1:9" x14ac:dyDescent="0.25">
      <c r="A3" s="107" t="s">
        <v>221</v>
      </c>
      <c r="B3" s="108">
        <v>2.7</v>
      </c>
      <c r="C3" s="109">
        <v>5.9638912315889172</v>
      </c>
      <c r="D3" s="110">
        <v>28.000000000000004</v>
      </c>
      <c r="E3" s="109">
        <v>4.0356394129979041</v>
      </c>
      <c r="F3" s="111">
        <v>76.599999999999994</v>
      </c>
      <c r="G3" s="112">
        <v>32.51</v>
      </c>
      <c r="H3" s="113">
        <v>0</v>
      </c>
      <c r="I3" s="114">
        <v>0.44800000000000001</v>
      </c>
    </row>
    <row r="4" spans="1:9" x14ac:dyDescent="0.25">
      <c r="A4" s="115" t="s">
        <v>223</v>
      </c>
      <c r="B4" s="116">
        <v>4.9000000000000004</v>
      </c>
      <c r="C4" s="117">
        <v>2.7798992798597757</v>
      </c>
      <c r="D4" s="118">
        <v>18</v>
      </c>
      <c r="E4" s="117">
        <v>5.5369627306337721</v>
      </c>
      <c r="F4" s="119">
        <v>66</v>
      </c>
      <c r="G4" s="120">
        <v>53.91</v>
      </c>
      <c r="H4" s="121">
        <v>-4.6153846153846129E-2</v>
      </c>
      <c r="I4" s="122">
        <v>0.42599999999999999</v>
      </c>
    </row>
    <row r="5" spans="1:9" x14ac:dyDescent="0.25">
      <c r="A5" s="115" t="s">
        <v>225</v>
      </c>
      <c r="B5" s="116">
        <v>15.2</v>
      </c>
      <c r="C5" s="117">
        <v>1.5618208938506064</v>
      </c>
      <c r="D5" s="118">
        <v>26</v>
      </c>
      <c r="E5" s="117">
        <v>6.789026192362881</v>
      </c>
      <c r="F5" s="119">
        <v>71.099999999999994</v>
      </c>
      <c r="G5" s="120">
        <v>96.55</v>
      </c>
      <c r="H5" s="121">
        <v>-7.3170731707317041E-2</v>
      </c>
      <c r="I5" s="122">
        <v>0.38300000000000001</v>
      </c>
    </row>
    <row r="6" spans="1:9" x14ac:dyDescent="0.25">
      <c r="A6" s="115" t="s">
        <v>227</v>
      </c>
      <c r="B6" s="116">
        <v>5.0999999999999996</v>
      </c>
      <c r="C6" s="117">
        <v>2.4340367229117286</v>
      </c>
      <c r="D6" s="118">
        <v>23</v>
      </c>
      <c r="E6" s="117">
        <v>3.6841262213679324</v>
      </c>
      <c r="F6" s="119">
        <v>69.2</v>
      </c>
      <c r="G6" s="120">
        <v>32.619999999999997</v>
      </c>
      <c r="H6" s="121">
        <v>1.8867924528301987E-2</v>
      </c>
      <c r="I6" s="122">
        <v>0.41899999999999998</v>
      </c>
    </row>
    <row r="7" spans="1:9" x14ac:dyDescent="0.25">
      <c r="A7" s="115" t="s">
        <v>229</v>
      </c>
      <c r="B7" s="116">
        <v>19.2</v>
      </c>
      <c r="C7" s="117">
        <v>11.298595759634276</v>
      </c>
      <c r="D7" s="118">
        <v>25</v>
      </c>
      <c r="E7" s="117">
        <v>9.5430725383837451</v>
      </c>
      <c r="F7" s="119">
        <v>59.7</v>
      </c>
      <c r="G7" s="120">
        <v>105.8</v>
      </c>
      <c r="H7" s="121">
        <v>0.1020408163265306</v>
      </c>
      <c r="I7" s="122">
        <v>0.36099999999999999</v>
      </c>
    </row>
    <row r="8" spans="1:9" x14ac:dyDescent="0.25">
      <c r="A8" s="115" t="s">
        <v>231</v>
      </c>
      <c r="B8" s="116">
        <v>19.2</v>
      </c>
      <c r="C8" s="117">
        <v>1.6455775617271571</v>
      </c>
      <c r="D8" s="118">
        <v>24</v>
      </c>
      <c r="E8" s="117">
        <v>6.679035250463822</v>
      </c>
      <c r="F8" s="119">
        <v>71</v>
      </c>
      <c r="G8" s="120">
        <v>22.24</v>
      </c>
      <c r="H8" s="121">
        <v>-0.11627906976744186</v>
      </c>
      <c r="I8" s="122">
        <v>0.376</v>
      </c>
    </row>
    <row r="9" spans="1:9" x14ac:dyDescent="0.25">
      <c r="A9" s="115" t="s">
        <v>233</v>
      </c>
      <c r="B9" s="116">
        <v>8.3000000000000007</v>
      </c>
      <c r="C9" s="117">
        <v>1.4561821929475667</v>
      </c>
      <c r="D9" s="118">
        <v>23</v>
      </c>
      <c r="E9" s="117">
        <v>6.5234265330052352</v>
      </c>
      <c r="F9" s="119">
        <v>70.5</v>
      </c>
      <c r="G9" s="120">
        <v>57.96</v>
      </c>
      <c r="H9" s="121">
        <v>4.5454545454545289E-2</v>
      </c>
      <c r="I9" s="122">
        <v>0.40600000000000003</v>
      </c>
    </row>
    <row r="10" spans="1:9" x14ac:dyDescent="0.25">
      <c r="A10" s="115" t="s">
        <v>235</v>
      </c>
      <c r="B10" s="116">
        <v>2.7</v>
      </c>
      <c r="C10" s="117">
        <v>1.9658542677539765</v>
      </c>
      <c r="D10" s="118">
        <v>20</v>
      </c>
      <c r="E10" s="117">
        <v>6.0748728073505962</v>
      </c>
      <c r="F10" s="119">
        <v>75.8</v>
      </c>
      <c r="G10" s="120">
        <v>70.83</v>
      </c>
      <c r="H10" s="121">
        <v>-2.8571428571428598E-2</v>
      </c>
      <c r="I10" s="122">
        <v>0.44800000000000001</v>
      </c>
    </row>
    <row r="11" spans="1:9" x14ac:dyDescent="0.25">
      <c r="A11" s="115" t="s">
        <v>237</v>
      </c>
      <c r="B11" s="116">
        <v>20</v>
      </c>
      <c r="C11" s="117">
        <v>4.3558677072021892</v>
      </c>
      <c r="D11" s="118">
        <v>30</v>
      </c>
      <c r="E11" s="117">
        <v>7.3049424930059068</v>
      </c>
      <c r="F11" s="119">
        <v>72.400000000000006</v>
      </c>
      <c r="G11" s="120">
        <v>106.9</v>
      </c>
      <c r="H11" s="121">
        <v>0.17647058823529416</v>
      </c>
      <c r="I11" s="122">
        <v>0.34799999999999998</v>
      </c>
    </row>
    <row r="12" spans="1:9" x14ac:dyDescent="0.25">
      <c r="A12" s="115" t="s">
        <v>85</v>
      </c>
      <c r="B12" s="116">
        <v>15.7</v>
      </c>
      <c r="C12" s="117">
        <v>3.6669373215642107</v>
      </c>
      <c r="D12" s="118">
        <v>28.000000000000004</v>
      </c>
      <c r="E12" s="117">
        <v>4.5465817971397868</v>
      </c>
      <c r="F12" s="119">
        <v>67.900000000000006</v>
      </c>
      <c r="G12" s="120">
        <v>28.02</v>
      </c>
      <c r="H12" s="121">
        <v>-4.3478260869565064E-2</v>
      </c>
      <c r="I12" s="122">
        <v>0.38</v>
      </c>
    </row>
    <row r="13" spans="1:9" x14ac:dyDescent="0.25">
      <c r="A13" s="123" t="s">
        <v>240</v>
      </c>
      <c r="B13" s="116">
        <v>2</v>
      </c>
      <c r="C13" s="117">
        <v>3.5842629041256422</v>
      </c>
      <c r="D13" s="118">
        <v>19</v>
      </c>
      <c r="E13" s="117">
        <v>8.9173018605032368</v>
      </c>
      <c r="F13" s="119">
        <v>59.8</v>
      </c>
      <c r="G13" s="120">
        <v>108.52</v>
      </c>
      <c r="H13" s="121">
        <v>0.04</v>
      </c>
      <c r="I13" s="122">
        <v>0.47399999999999998</v>
      </c>
    </row>
    <row r="14" spans="1:9" x14ac:dyDescent="0.25">
      <c r="A14" s="123" t="s">
        <v>242</v>
      </c>
      <c r="B14" s="116">
        <v>6.1</v>
      </c>
      <c r="C14" s="117">
        <v>6.135779464079679</v>
      </c>
      <c r="D14" s="118">
        <v>22</v>
      </c>
      <c r="E14" s="117">
        <v>5.0088198784816749</v>
      </c>
      <c r="F14" s="119">
        <v>74.2</v>
      </c>
      <c r="G14" s="120">
        <v>61.54</v>
      </c>
      <c r="H14" s="121">
        <v>-0.15625</v>
      </c>
      <c r="I14" s="122">
        <v>0.41299999999999998</v>
      </c>
    </row>
    <row r="15" spans="1:9" x14ac:dyDescent="0.25">
      <c r="A15" s="115" t="s">
        <v>244</v>
      </c>
      <c r="B15" s="116">
        <v>12.5</v>
      </c>
      <c r="C15" s="117">
        <v>4.9873379192981817</v>
      </c>
      <c r="D15" s="118">
        <v>28.999999999999996</v>
      </c>
      <c r="E15" s="117">
        <v>6.5074602659746992</v>
      </c>
      <c r="F15" s="119">
        <v>70.900000000000006</v>
      </c>
      <c r="G15" s="120">
        <v>42.36</v>
      </c>
      <c r="H15" s="121">
        <v>8.6956521739130516E-2</v>
      </c>
      <c r="I15" s="122">
        <v>0.39</v>
      </c>
    </row>
    <row r="16" spans="1:9" x14ac:dyDescent="0.25">
      <c r="A16" s="115" t="s">
        <v>246</v>
      </c>
      <c r="B16" s="116">
        <v>10.3</v>
      </c>
      <c r="C16" s="117">
        <v>5.9098963025955165</v>
      </c>
      <c r="D16" s="118">
        <v>26</v>
      </c>
      <c r="E16" s="117">
        <v>4.1463086646644847</v>
      </c>
      <c r="F16" s="119">
        <v>75</v>
      </c>
      <c r="G16" s="120">
        <v>16.98</v>
      </c>
      <c r="H16" s="121">
        <v>-8.1632653061224553E-2</v>
      </c>
      <c r="I16" s="122">
        <v>0.39300000000000002</v>
      </c>
    </row>
    <row r="17" spans="1:9" x14ac:dyDescent="0.25">
      <c r="A17" s="115" t="s">
        <v>248</v>
      </c>
      <c r="B17" s="116">
        <v>3.1</v>
      </c>
      <c r="C17" s="117">
        <v>6.425603889632221</v>
      </c>
      <c r="D17" s="118">
        <v>22</v>
      </c>
      <c r="E17" s="117">
        <v>4.0145605824232966</v>
      </c>
      <c r="F17" s="119">
        <v>73.900000000000006</v>
      </c>
      <c r="G17" s="120">
        <v>23.59</v>
      </c>
      <c r="H17" s="121">
        <v>0</v>
      </c>
      <c r="I17" s="122">
        <v>0.442</v>
      </c>
    </row>
    <row r="18" spans="1:9" x14ac:dyDescent="0.25">
      <c r="A18" s="123" t="s">
        <v>250</v>
      </c>
      <c r="B18" s="116">
        <v>2</v>
      </c>
      <c r="C18" s="117">
        <v>3.3141246190107556</v>
      </c>
      <c r="D18" s="118">
        <v>23</v>
      </c>
      <c r="E18" s="117">
        <v>4.3841899365978687</v>
      </c>
      <c r="F18" s="119">
        <v>69.5</v>
      </c>
      <c r="G18" s="120">
        <v>24.64</v>
      </c>
      <c r="H18" s="121">
        <v>-4.6511627906976785E-2</v>
      </c>
      <c r="I18" s="122">
        <v>0.47499999999999998</v>
      </c>
    </row>
    <row r="19" spans="1:9" x14ac:dyDescent="0.25">
      <c r="A19" s="115" t="s">
        <v>252</v>
      </c>
      <c r="B19" s="116">
        <v>2.7</v>
      </c>
      <c r="C19" s="117">
        <v>8.1575414584646744</v>
      </c>
      <c r="D19" s="118">
        <v>24</v>
      </c>
      <c r="E19" s="117">
        <v>4.6777278130976372</v>
      </c>
      <c r="F19" s="119">
        <v>71.599999999999994</v>
      </c>
      <c r="G19" s="120">
        <v>24.62</v>
      </c>
      <c r="H19" s="121">
        <v>-5.1724137931034454E-2</v>
      </c>
      <c r="I19" s="122">
        <v>0.44900000000000001</v>
      </c>
    </row>
    <row r="20" spans="1:9" x14ac:dyDescent="0.25">
      <c r="A20" s="115" t="s">
        <v>254</v>
      </c>
      <c r="B20" s="116">
        <v>2</v>
      </c>
      <c r="C20" s="117">
        <v>2.4923111037816978</v>
      </c>
      <c r="D20" s="118">
        <v>28.000000000000004</v>
      </c>
      <c r="E20" s="117">
        <v>3.9229291204099059</v>
      </c>
      <c r="F20" s="119">
        <v>72.5</v>
      </c>
      <c r="G20" s="120">
        <v>41.22</v>
      </c>
      <c r="H20" s="121">
        <v>-2.5641025641025664E-2</v>
      </c>
      <c r="I20" s="122">
        <v>0.49399999999999999</v>
      </c>
    </row>
    <row r="21" spans="1:9" x14ac:dyDescent="0.25">
      <c r="A21" s="123" t="s">
        <v>256</v>
      </c>
      <c r="B21" s="116">
        <v>0.4</v>
      </c>
      <c r="C21" s="117">
        <v>3.0367284716828866</v>
      </c>
      <c r="D21" s="118">
        <v>22</v>
      </c>
      <c r="E21" s="117">
        <v>4.8568226270795334</v>
      </c>
      <c r="F21" s="119">
        <v>73.900000000000006</v>
      </c>
      <c r="G21" s="120">
        <v>59.6</v>
      </c>
      <c r="H21" s="121">
        <v>2.1739130434782726E-2</v>
      </c>
      <c r="I21" s="122">
        <v>0.52800000000000002</v>
      </c>
    </row>
    <row r="22" spans="1:9" x14ac:dyDescent="0.25">
      <c r="A22" s="115" t="s">
        <v>258</v>
      </c>
      <c r="B22" s="116">
        <v>8.3000000000000007</v>
      </c>
      <c r="C22" s="117">
        <v>2.278251385105647</v>
      </c>
      <c r="D22" s="118">
        <v>27</v>
      </c>
      <c r="E22" s="117">
        <v>6.9116388193145433</v>
      </c>
      <c r="F22" s="119">
        <v>71.2</v>
      </c>
      <c r="G22" s="120">
        <v>99.86</v>
      </c>
      <c r="H22" s="121">
        <v>-5.2631578947368356E-2</v>
      </c>
      <c r="I22" s="122">
        <v>0.40699999999999997</v>
      </c>
    </row>
    <row r="23" spans="1:9" x14ac:dyDescent="0.25">
      <c r="A23" s="123" t="s">
        <v>260</v>
      </c>
      <c r="B23" s="116">
        <v>6.6</v>
      </c>
      <c r="C23" s="117">
        <v>1.9845715069797223</v>
      </c>
      <c r="D23" s="118">
        <v>19</v>
      </c>
      <c r="E23" s="117">
        <v>6.4320045236075769</v>
      </c>
      <c r="F23" s="119">
        <v>63.4</v>
      </c>
      <c r="G23" s="120">
        <v>48.75</v>
      </c>
      <c r="H23" s="121">
        <v>-6.25E-2</v>
      </c>
      <c r="I23" s="122">
        <v>0.41099999999999998</v>
      </c>
    </row>
    <row r="24" spans="1:9" x14ac:dyDescent="0.25">
      <c r="A24" s="115" t="s">
        <v>262</v>
      </c>
      <c r="B24" s="116">
        <v>19.5</v>
      </c>
      <c r="C24" s="117">
        <v>9.4223269632842985</v>
      </c>
      <c r="D24" s="118">
        <v>28.000000000000004</v>
      </c>
      <c r="E24" s="117">
        <v>4.9538954686426742</v>
      </c>
      <c r="F24" s="119">
        <v>76.400000000000006</v>
      </c>
      <c r="G24" s="120">
        <v>16.149999999999999</v>
      </c>
      <c r="H24" s="121">
        <v>4.3478260869565188E-2</v>
      </c>
      <c r="I24" s="122">
        <v>0.35299999999999998</v>
      </c>
    </row>
    <row r="25" spans="1:9" x14ac:dyDescent="0.25">
      <c r="A25" s="115" t="s">
        <v>264</v>
      </c>
      <c r="B25" s="116">
        <v>5.0999999999999996</v>
      </c>
      <c r="C25" s="117">
        <v>3.828674695596312</v>
      </c>
      <c r="D25" s="118">
        <v>23</v>
      </c>
      <c r="E25" s="117">
        <v>5.2404548857438238</v>
      </c>
      <c r="F25" s="119">
        <v>76.5</v>
      </c>
      <c r="G25" s="120">
        <v>41.91</v>
      </c>
      <c r="H25" s="121">
        <v>0.15</v>
      </c>
      <c r="I25" s="122">
        <v>0.42199999999999999</v>
      </c>
    </row>
    <row r="26" spans="1:9" x14ac:dyDescent="0.25">
      <c r="A26" s="115" t="s">
        <v>266</v>
      </c>
      <c r="B26" s="116">
        <v>1.1000000000000001</v>
      </c>
      <c r="C26" s="117">
        <v>2.7408664906801974</v>
      </c>
      <c r="D26" s="118">
        <v>33</v>
      </c>
      <c r="E26" s="117">
        <v>3.930932067670267</v>
      </c>
      <c r="F26" s="119">
        <v>78.8</v>
      </c>
      <c r="G26" s="120">
        <v>31.12</v>
      </c>
      <c r="H26" s="121">
        <v>-5.9701492537313487E-2</v>
      </c>
      <c r="I26" s="122">
        <v>0.5</v>
      </c>
    </row>
    <row r="27" spans="1:9" x14ac:dyDescent="0.25">
      <c r="A27" s="115" t="s">
        <v>268</v>
      </c>
      <c r="B27" s="116">
        <v>9.1</v>
      </c>
      <c r="C27" s="117">
        <v>5.5967467421065038</v>
      </c>
      <c r="D27" s="118">
        <v>27</v>
      </c>
      <c r="E27" s="117">
        <v>4.9227864319913683</v>
      </c>
      <c r="F27" s="119">
        <v>72.3</v>
      </c>
      <c r="G27" s="120">
        <v>33.11</v>
      </c>
      <c r="H27" s="121">
        <v>4.1666666666666706E-2</v>
      </c>
      <c r="I27" s="122">
        <v>0.39900000000000002</v>
      </c>
    </row>
    <row r="28" spans="1:9" x14ac:dyDescent="0.25">
      <c r="A28" s="115" t="s">
        <v>270</v>
      </c>
      <c r="B28" s="116">
        <v>2.7</v>
      </c>
      <c r="C28" s="117">
        <v>5.1155647844520242</v>
      </c>
      <c r="D28" s="118">
        <v>18</v>
      </c>
      <c r="E28" s="117">
        <v>5.951633560181814</v>
      </c>
      <c r="F28" s="119">
        <v>70.400000000000006</v>
      </c>
      <c r="G28" s="120">
        <v>62.15</v>
      </c>
      <c r="H28" s="121">
        <v>-6.0606060606060531E-2</v>
      </c>
      <c r="I28" s="122">
        <v>0.45</v>
      </c>
    </row>
    <row r="29" spans="1:9" x14ac:dyDescent="0.25">
      <c r="A29" s="123" t="s">
        <v>272</v>
      </c>
      <c r="B29" s="116">
        <v>4.7</v>
      </c>
      <c r="C29" s="117">
        <v>1.803252729814699</v>
      </c>
      <c r="D29" s="118">
        <v>22</v>
      </c>
      <c r="E29" s="117">
        <v>4.6497337156902905</v>
      </c>
      <c r="F29" s="119">
        <v>70.2</v>
      </c>
      <c r="G29" s="120">
        <v>20.309999999999999</v>
      </c>
      <c r="H29" s="121">
        <v>0</v>
      </c>
      <c r="I29" s="122">
        <v>0.432</v>
      </c>
    </row>
    <row r="30" spans="1:9" x14ac:dyDescent="0.25">
      <c r="A30" s="115" t="s">
        <v>274</v>
      </c>
      <c r="B30" s="116">
        <v>33.799999999999997</v>
      </c>
      <c r="C30" s="117">
        <v>5.2623741805313982</v>
      </c>
      <c r="D30" s="118">
        <v>28.000000000000004</v>
      </c>
      <c r="E30" s="117">
        <v>5.6626694882044042</v>
      </c>
      <c r="F30" s="119">
        <v>63.4</v>
      </c>
      <c r="G30" s="120">
        <v>99.35</v>
      </c>
      <c r="H30" s="121">
        <v>0.14285714285714277</v>
      </c>
      <c r="I30" s="122">
        <v>0.33500000000000002</v>
      </c>
    </row>
    <row r="31" spans="1:9" x14ac:dyDescent="0.25">
      <c r="A31" s="115" t="s">
        <v>276</v>
      </c>
      <c r="B31" s="116">
        <v>2.1</v>
      </c>
      <c r="C31" s="117">
        <v>2.355931018339783</v>
      </c>
      <c r="D31" s="118">
        <v>20</v>
      </c>
      <c r="E31" s="117">
        <v>6.7537369022197939</v>
      </c>
      <c r="F31" s="119">
        <v>74</v>
      </c>
      <c r="G31" s="120">
        <v>54.1</v>
      </c>
      <c r="H31" s="121">
        <v>2.8571428571428598E-2</v>
      </c>
      <c r="I31" s="122">
        <v>0.47199999999999998</v>
      </c>
    </row>
    <row r="32" spans="1:9" x14ac:dyDescent="0.25">
      <c r="A32" s="115" t="s">
        <v>278</v>
      </c>
      <c r="B32" s="116">
        <v>9</v>
      </c>
      <c r="C32" s="117">
        <v>5.7909812662331683</v>
      </c>
      <c r="D32" s="118">
        <v>21</v>
      </c>
      <c r="E32" s="117">
        <v>7.026006711409396</v>
      </c>
      <c r="F32" s="119">
        <v>70.099999999999994</v>
      </c>
      <c r="G32" s="120">
        <v>78.52</v>
      </c>
      <c r="H32" s="121">
        <v>-0.10638297872340426</v>
      </c>
      <c r="I32" s="122">
        <v>0.40100000000000002</v>
      </c>
    </row>
    <row r="33" spans="1:9" x14ac:dyDescent="0.25">
      <c r="A33" s="123" t="s">
        <v>280</v>
      </c>
      <c r="B33" s="116">
        <v>3.6</v>
      </c>
      <c r="C33" s="117">
        <v>2.7919986395352083</v>
      </c>
      <c r="D33" s="118">
        <v>22</v>
      </c>
      <c r="E33" s="117">
        <v>5.2335144295469274</v>
      </c>
      <c r="F33" s="119">
        <v>71.400000000000006</v>
      </c>
      <c r="G33" s="120">
        <v>55.63</v>
      </c>
      <c r="H33" s="121">
        <v>-0.18604651162790695</v>
      </c>
      <c r="I33" s="122">
        <v>0.441</v>
      </c>
    </row>
    <row r="34" spans="1:9" x14ac:dyDescent="0.25">
      <c r="A34" s="123" t="s">
        <v>282</v>
      </c>
      <c r="B34" s="116">
        <v>4.9000000000000004</v>
      </c>
      <c r="C34" s="117">
        <v>3.7983744097556764</v>
      </c>
      <c r="D34" s="118">
        <v>23</v>
      </c>
      <c r="E34" s="117">
        <v>6.3129229245750125</v>
      </c>
      <c r="F34" s="119">
        <v>55.9</v>
      </c>
      <c r="G34" s="120">
        <v>67.34</v>
      </c>
      <c r="H34" s="121">
        <v>-2.1739130434782532E-2</v>
      </c>
      <c r="I34" s="122">
        <v>0.42599999999999999</v>
      </c>
    </row>
    <row r="35" spans="1:9" x14ac:dyDescent="0.25">
      <c r="A35" s="115" t="s">
        <v>284</v>
      </c>
      <c r="B35" s="116">
        <v>7.4</v>
      </c>
      <c r="C35" s="117">
        <v>1.0263731548459381</v>
      </c>
      <c r="D35" s="118">
        <v>22</v>
      </c>
      <c r="E35" s="117">
        <v>4.5655517108804302</v>
      </c>
      <c r="F35" s="119">
        <v>70.900000000000006</v>
      </c>
      <c r="G35" s="120">
        <v>30.9</v>
      </c>
      <c r="H35" s="121">
        <v>0</v>
      </c>
      <c r="I35" s="122">
        <v>0.41099999999999998</v>
      </c>
    </row>
    <row r="36" spans="1:9" x14ac:dyDescent="0.25">
      <c r="A36" s="115" t="s">
        <v>286</v>
      </c>
      <c r="B36" s="116">
        <v>0.8</v>
      </c>
      <c r="C36" s="117">
        <v>3.439031443689768</v>
      </c>
      <c r="D36" s="118">
        <v>16</v>
      </c>
      <c r="E36" s="117">
        <v>4.3014818841436036</v>
      </c>
      <c r="F36" s="119">
        <v>68.5</v>
      </c>
      <c r="G36" s="120">
        <v>39.15</v>
      </c>
      <c r="H36" s="121">
        <v>0</v>
      </c>
      <c r="I36" s="122">
        <v>0.502</v>
      </c>
    </row>
    <row r="37" spans="1:9" x14ac:dyDescent="0.25">
      <c r="A37" s="123" t="s">
        <v>288</v>
      </c>
      <c r="B37" s="116">
        <v>18</v>
      </c>
      <c r="C37" s="117">
        <v>6.2440497301933906</v>
      </c>
      <c r="D37" s="118">
        <v>26</v>
      </c>
      <c r="E37" s="117">
        <v>4.8278573925200972</v>
      </c>
      <c r="F37" s="119">
        <v>73.3</v>
      </c>
      <c r="G37" s="120">
        <v>16.53</v>
      </c>
      <c r="H37" s="121">
        <v>3.7037037037036903E-2</v>
      </c>
      <c r="I37" s="122">
        <v>0.378</v>
      </c>
    </row>
    <row r="38" spans="1:9" x14ac:dyDescent="0.25">
      <c r="A38" s="115" t="s">
        <v>290</v>
      </c>
      <c r="B38" s="116">
        <v>5.2</v>
      </c>
      <c r="C38" s="117">
        <v>1.9074916319171451</v>
      </c>
      <c r="D38" s="118">
        <v>27</v>
      </c>
      <c r="E38" s="117">
        <v>4.3233227823670193</v>
      </c>
      <c r="F38" s="119">
        <v>72.900000000000006</v>
      </c>
      <c r="G38" s="120">
        <v>26</v>
      </c>
      <c r="H38" s="121">
        <v>4.8780487804878099E-2</v>
      </c>
      <c r="I38" s="122">
        <v>0.41799999999999998</v>
      </c>
    </row>
    <row r="39" spans="1:9" x14ac:dyDescent="0.25">
      <c r="A39" s="123" t="s">
        <v>292</v>
      </c>
      <c r="B39" s="116">
        <v>5.4</v>
      </c>
      <c r="C39" s="117">
        <v>6.8846723976672166</v>
      </c>
      <c r="D39" s="118">
        <v>22</v>
      </c>
      <c r="E39" s="117">
        <v>6.5157824332779573</v>
      </c>
      <c r="F39" s="119">
        <v>68.2</v>
      </c>
      <c r="G39" s="120">
        <v>68.91</v>
      </c>
      <c r="H39" s="121">
        <v>-3.703703703703707E-2</v>
      </c>
      <c r="I39" s="122">
        <v>0.41399999999999998</v>
      </c>
    </row>
    <row r="40" spans="1:9" x14ac:dyDescent="0.25">
      <c r="A40" s="115" t="s">
        <v>294</v>
      </c>
      <c r="B40" s="116">
        <v>3</v>
      </c>
      <c r="C40" s="117">
        <v>9.4990730963728822</v>
      </c>
      <c r="D40" s="118">
        <v>19</v>
      </c>
      <c r="E40" s="117">
        <v>5.1092464899892001</v>
      </c>
      <c r="F40" s="119">
        <v>73.3</v>
      </c>
      <c r="G40" s="120">
        <v>55.32</v>
      </c>
      <c r="H40" s="121">
        <v>-4.3478260869565064E-2</v>
      </c>
      <c r="I40" s="122">
        <v>0.44800000000000001</v>
      </c>
    </row>
    <row r="41" spans="1:9" x14ac:dyDescent="0.25">
      <c r="A41" s="123" t="s">
        <v>296</v>
      </c>
      <c r="B41" s="116">
        <v>4.0999999999999996</v>
      </c>
      <c r="C41" s="117">
        <v>5.1047803431924921</v>
      </c>
      <c r="D41" s="118">
        <v>27</v>
      </c>
      <c r="E41" s="117">
        <v>6.6767135308368788</v>
      </c>
      <c r="F41" s="119">
        <v>63.1</v>
      </c>
      <c r="G41" s="120">
        <v>83.08</v>
      </c>
      <c r="H41" s="121">
        <v>-1.9607843137254832E-2</v>
      </c>
      <c r="I41" s="122">
        <v>0.441</v>
      </c>
    </row>
    <row r="42" spans="1:9" x14ac:dyDescent="0.25">
      <c r="A42" s="123" t="s">
        <v>298</v>
      </c>
      <c r="B42" s="116">
        <v>2.2000000000000002</v>
      </c>
      <c r="C42" s="117">
        <v>4.0156915985152377</v>
      </c>
      <c r="D42" s="118">
        <v>24</v>
      </c>
      <c r="E42" s="117">
        <v>4.9281718946356854</v>
      </c>
      <c r="F42" s="119">
        <v>73.900000000000006</v>
      </c>
      <c r="G42" s="120">
        <v>33.86</v>
      </c>
      <c r="H42" s="121">
        <v>-7.8125E-2</v>
      </c>
      <c r="I42" s="122">
        <v>0.46200000000000002</v>
      </c>
    </row>
    <row r="43" spans="1:9" x14ac:dyDescent="0.25">
      <c r="A43" s="115" t="s">
        <v>300</v>
      </c>
      <c r="B43" s="116">
        <v>0.1</v>
      </c>
      <c r="C43" s="117">
        <v>1.3815381291964222</v>
      </c>
      <c r="D43" s="118">
        <v>18</v>
      </c>
      <c r="E43" s="117">
        <v>4.5337363321184103</v>
      </c>
      <c r="F43" s="119">
        <v>68.400000000000006</v>
      </c>
      <c r="G43" s="120">
        <v>33.65</v>
      </c>
      <c r="H43" s="121">
        <v>-3.2258064516129059E-2</v>
      </c>
      <c r="I43" s="122">
        <v>0.54800000000000004</v>
      </c>
    </row>
    <row r="44" spans="1:9" x14ac:dyDescent="0.25">
      <c r="A44" s="115" t="s">
        <v>302</v>
      </c>
      <c r="B44" s="116">
        <v>9.8000000000000007</v>
      </c>
      <c r="C44" s="117">
        <v>2.5175747017201857</v>
      </c>
      <c r="D44" s="118">
        <v>27</v>
      </c>
      <c r="E44" s="117">
        <v>4.373894240220169</v>
      </c>
      <c r="F44" s="119">
        <v>72.400000000000006</v>
      </c>
      <c r="G44" s="120">
        <v>30.32</v>
      </c>
      <c r="H44" s="121">
        <v>-7.843137254901951E-2</v>
      </c>
      <c r="I44" s="122">
        <v>0.39600000000000002</v>
      </c>
    </row>
    <row r="45" spans="1:9" x14ac:dyDescent="0.25">
      <c r="A45" s="115" t="s">
        <v>304</v>
      </c>
      <c r="B45" s="116">
        <v>9.4</v>
      </c>
      <c r="C45" s="117">
        <v>1.8030168529784081</v>
      </c>
      <c r="D45" s="118">
        <v>28.999999999999996</v>
      </c>
      <c r="E45" s="117">
        <v>4.2049995353591676</v>
      </c>
      <c r="F45" s="119">
        <v>65.900000000000006</v>
      </c>
      <c r="G45" s="120">
        <v>24.18</v>
      </c>
      <c r="H45" s="121">
        <v>-0.12244897959183683</v>
      </c>
      <c r="I45" s="122">
        <v>0.39800000000000002</v>
      </c>
    </row>
    <row r="46" spans="1:9" x14ac:dyDescent="0.25">
      <c r="A46" s="115" t="s">
        <v>306</v>
      </c>
      <c r="B46" s="116">
        <v>8.5</v>
      </c>
      <c r="C46" s="117">
        <v>1.6255060805268153</v>
      </c>
      <c r="D46" s="118">
        <v>25</v>
      </c>
      <c r="E46" s="117">
        <v>5.1960660925223392</v>
      </c>
      <c r="F46" s="119">
        <v>73.900000000000006</v>
      </c>
      <c r="G46" s="120">
        <v>43.93</v>
      </c>
      <c r="H46" s="121">
        <v>-9.9999999999999936E-2</v>
      </c>
      <c r="I46" s="122">
        <v>0.40400000000000003</v>
      </c>
    </row>
    <row r="47" spans="1:9" x14ac:dyDescent="0.25">
      <c r="A47" s="123" t="s">
        <v>308</v>
      </c>
      <c r="B47" s="116">
        <v>0.1</v>
      </c>
      <c r="C47" s="117">
        <v>8.6920969522932658</v>
      </c>
      <c r="D47" s="118">
        <v>15</v>
      </c>
      <c r="E47" s="117">
        <v>4.7724920458465903</v>
      </c>
      <c r="F47" s="119">
        <v>74.2</v>
      </c>
      <c r="G47" s="120">
        <v>63.02</v>
      </c>
      <c r="H47" s="121">
        <v>5.4054054054053981E-2</v>
      </c>
      <c r="I47" s="122">
        <v>0.58699999999999997</v>
      </c>
    </row>
    <row r="48" spans="1:9" x14ac:dyDescent="0.25">
      <c r="A48" s="115" t="s">
        <v>310</v>
      </c>
      <c r="B48" s="116">
        <v>5.0999999999999996</v>
      </c>
      <c r="C48" s="117">
        <v>1.841264580513897</v>
      </c>
      <c r="D48" s="118">
        <v>21</v>
      </c>
      <c r="E48" s="117">
        <v>8.3802918653373784</v>
      </c>
      <c r="F48" s="119">
        <v>71.2</v>
      </c>
      <c r="G48" s="120">
        <v>80.599999999999994</v>
      </c>
      <c r="H48" s="121">
        <v>0</v>
      </c>
      <c r="I48" s="122">
        <v>0.42199999999999999</v>
      </c>
    </row>
    <row r="49" spans="1:9" x14ac:dyDescent="0.25">
      <c r="A49" s="115" t="s">
        <v>312</v>
      </c>
      <c r="B49" s="116">
        <v>5.7</v>
      </c>
      <c r="C49" s="117">
        <v>2.9218863822161318</v>
      </c>
      <c r="D49" s="118">
        <v>22</v>
      </c>
      <c r="E49" s="117">
        <v>6.5775950668037</v>
      </c>
      <c r="F49" s="119">
        <v>67.599999999999994</v>
      </c>
      <c r="G49" s="120">
        <v>66.13</v>
      </c>
      <c r="H49" s="121">
        <v>-8.1632653061224553E-2</v>
      </c>
      <c r="I49" s="122">
        <v>0.41399999999999998</v>
      </c>
    </row>
    <row r="50" spans="1:9" x14ac:dyDescent="0.25">
      <c r="A50" s="115" t="s">
        <v>314</v>
      </c>
      <c r="B50" s="116">
        <v>0.5</v>
      </c>
      <c r="C50" s="117">
        <v>1.048544868062703</v>
      </c>
      <c r="D50" s="118">
        <v>21</v>
      </c>
      <c r="E50" s="117">
        <v>4.3387940782034757</v>
      </c>
      <c r="F50" s="119">
        <v>81.3</v>
      </c>
      <c r="G50" s="120">
        <v>35.82</v>
      </c>
      <c r="H50" s="121">
        <v>-2.1276595744680965E-2</v>
      </c>
      <c r="I50" s="122">
        <v>0.502</v>
      </c>
    </row>
    <row r="51" spans="1:9" x14ac:dyDescent="0.25">
      <c r="A51" s="115" t="s">
        <v>316</v>
      </c>
      <c r="B51" s="116">
        <v>4.9000000000000004</v>
      </c>
      <c r="C51" s="117">
        <v>12.496340357466742</v>
      </c>
      <c r="D51" s="118">
        <v>21</v>
      </c>
      <c r="E51" s="117">
        <v>4.8258798028750798</v>
      </c>
      <c r="F51" s="119">
        <v>71.099999999999994</v>
      </c>
      <c r="G51" s="120">
        <v>36.369999999999997</v>
      </c>
      <c r="H51" s="121">
        <v>4.2553191489361736E-2</v>
      </c>
      <c r="I51" s="122">
        <v>0.42799999999999999</v>
      </c>
    </row>
    <row r="52" spans="1:9" x14ac:dyDescent="0.25">
      <c r="A52" s="124" t="s">
        <v>318</v>
      </c>
      <c r="B52" s="125">
        <v>1.5</v>
      </c>
      <c r="C52" s="126">
        <v>0.95633379874911539</v>
      </c>
      <c r="D52" s="127">
        <v>23</v>
      </c>
      <c r="E52" s="126">
        <v>5.0629652672001377</v>
      </c>
      <c r="F52" s="128">
        <v>72.8</v>
      </c>
      <c r="G52" s="129">
        <v>62.56</v>
      </c>
      <c r="H52" s="130">
        <v>-9.0909090909090856E-2</v>
      </c>
      <c r="I52" s="131">
        <v>0.498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F553-4430-4F32-856D-461969802343}">
  <dimension ref="A1:G51"/>
  <sheetViews>
    <sheetView workbookViewId="0">
      <selection activeCell="G2" sqref="G2:G6"/>
    </sheetView>
  </sheetViews>
  <sheetFormatPr defaultRowHeight="15" x14ac:dyDescent="0.25"/>
  <sheetData>
    <row r="1" spans="1:7" x14ac:dyDescent="0.25">
      <c r="A1" s="1" t="s">
        <v>0</v>
      </c>
      <c r="B1" s="2" t="s">
        <v>502</v>
      </c>
      <c r="C1" s="2" t="s">
        <v>503</v>
      </c>
      <c r="D1" s="2" t="s">
        <v>504</v>
      </c>
      <c r="E1" s="2" t="s">
        <v>505</v>
      </c>
      <c r="F1" s="3" t="s">
        <v>506</v>
      </c>
      <c r="G1" s="18" t="s">
        <v>189</v>
      </c>
    </row>
    <row r="2" spans="1:7" x14ac:dyDescent="0.25">
      <c r="A2" s="4">
        <v>1</v>
      </c>
      <c r="B2" s="136">
        <v>561.45000000000005</v>
      </c>
      <c r="C2" s="136">
        <v>9.64</v>
      </c>
      <c r="D2" s="136">
        <v>57.62</v>
      </c>
      <c r="E2" s="136">
        <v>51.81</v>
      </c>
      <c r="F2" s="137">
        <v>16.440000000000001</v>
      </c>
      <c r="G2" s="23" t="s">
        <v>507</v>
      </c>
    </row>
    <row r="3" spans="1:7" x14ac:dyDescent="0.25">
      <c r="A3" s="8">
        <v>2</v>
      </c>
      <c r="B3" s="138">
        <v>458.74</v>
      </c>
      <c r="C3" s="138">
        <v>11.58</v>
      </c>
      <c r="D3" s="138">
        <v>69.41</v>
      </c>
      <c r="E3" s="138">
        <v>56.92</v>
      </c>
      <c r="F3" s="139">
        <v>16.309999999999999</v>
      </c>
      <c r="G3" s="23" t="s">
        <v>508</v>
      </c>
    </row>
    <row r="4" spans="1:7" x14ac:dyDescent="0.25">
      <c r="A4" s="8">
        <v>3</v>
      </c>
      <c r="B4" s="138">
        <v>408.44</v>
      </c>
      <c r="C4" s="138">
        <v>13.28</v>
      </c>
      <c r="D4" s="138">
        <v>51.91</v>
      </c>
      <c r="E4" s="138">
        <v>55.12</v>
      </c>
      <c r="F4" s="139">
        <v>11.33</v>
      </c>
      <c r="G4" s="23" t="s">
        <v>509</v>
      </c>
    </row>
    <row r="5" spans="1:7" x14ac:dyDescent="0.25">
      <c r="A5" s="8">
        <v>4</v>
      </c>
      <c r="B5" s="138">
        <v>396.71</v>
      </c>
      <c r="C5" s="138">
        <v>8.6999999999999993</v>
      </c>
      <c r="D5" s="138">
        <v>34.24</v>
      </c>
      <c r="E5" s="138">
        <v>45.62</v>
      </c>
      <c r="F5" s="139">
        <v>12.31</v>
      </c>
      <c r="G5" s="23" t="s">
        <v>510</v>
      </c>
    </row>
    <row r="6" spans="1:7" x14ac:dyDescent="0.25">
      <c r="A6" s="8">
        <v>5</v>
      </c>
      <c r="B6" s="138">
        <v>466.64</v>
      </c>
      <c r="C6" s="138">
        <v>8.2899999999999991</v>
      </c>
      <c r="D6" s="138">
        <v>42.68</v>
      </c>
      <c r="E6" s="138">
        <v>44.5</v>
      </c>
      <c r="F6" s="139">
        <v>16.29</v>
      </c>
      <c r="G6" s="23" t="s">
        <v>511</v>
      </c>
    </row>
    <row r="7" spans="1:7" x14ac:dyDescent="0.25">
      <c r="A7" s="8">
        <v>6</v>
      </c>
      <c r="B7" s="138">
        <v>464.39</v>
      </c>
      <c r="C7" s="138">
        <v>8.7200000000000006</v>
      </c>
      <c r="D7" s="138">
        <v>55.46</v>
      </c>
      <c r="E7" s="138">
        <v>46.46</v>
      </c>
      <c r="F7" s="139">
        <v>7.25</v>
      </c>
    </row>
    <row r="8" spans="1:7" x14ac:dyDescent="0.25">
      <c r="A8" s="8">
        <v>7</v>
      </c>
      <c r="B8" s="138">
        <v>278.67</v>
      </c>
      <c r="C8" s="138">
        <v>12.62</v>
      </c>
      <c r="D8" s="138">
        <v>44.77</v>
      </c>
      <c r="E8" s="138">
        <v>49.93</v>
      </c>
      <c r="F8" s="139">
        <v>11.46</v>
      </c>
    </row>
    <row r="9" spans="1:7" x14ac:dyDescent="0.25">
      <c r="A9" s="8">
        <v>8</v>
      </c>
      <c r="B9" s="138">
        <v>630.08000000000004</v>
      </c>
      <c r="C9" s="138">
        <v>12.16</v>
      </c>
      <c r="D9" s="138">
        <v>63.28</v>
      </c>
      <c r="E9" s="138">
        <v>64.17</v>
      </c>
      <c r="F9" s="139">
        <v>15.25</v>
      </c>
    </row>
    <row r="10" spans="1:7" x14ac:dyDescent="0.25">
      <c r="A10" s="8">
        <v>9</v>
      </c>
      <c r="B10" s="138">
        <v>296.58</v>
      </c>
      <c r="C10" s="138">
        <v>15.43</v>
      </c>
      <c r="D10" s="138">
        <v>37.78</v>
      </c>
      <c r="E10" s="138">
        <v>39.71</v>
      </c>
      <c r="F10" s="139">
        <v>12.07</v>
      </c>
    </row>
    <row r="11" spans="1:7" x14ac:dyDescent="0.25">
      <c r="A11" s="8">
        <v>10</v>
      </c>
      <c r="B11" s="138">
        <v>414.98</v>
      </c>
      <c r="C11" s="138">
        <v>7.61</v>
      </c>
      <c r="D11" s="138">
        <v>41.29</v>
      </c>
      <c r="E11" s="138">
        <v>46.11</v>
      </c>
      <c r="F11" s="139">
        <v>10.97</v>
      </c>
    </row>
    <row r="12" spans="1:7" x14ac:dyDescent="0.25">
      <c r="A12" s="8">
        <v>11</v>
      </c>
      <c r="B12" s="138">
        <v>440.82</v>
      </c>
      <c r="C12" s="138">
        <v>8.2899999999999991</v>
      </c>
      <c r="D12" s="138">
        <v>70.150000000000006</v>
      </c>
      <c r="E12" s="138">
        <v>58.49</v>
      </c>
      <c r="F12" s="139">
        <v>9.48</v>
      </c>
    </row>
    <row r="13" spans="1:7" x14ac:dyDescent="0.25">
      <c r="A13" s="8">
        <v>12</v>
      </c>
      <c r="B13" s="138">
        <v>475.11</v>
      </c>
      <c r="C13" s="138">
        <v>10.06</v>
      </c>
      <c r="D13" s="138">
        <v>65.510000000000005</v>
      </c>
      <c r="E13" s="138">
        <v>51.05</v>
      </c>
      <c r="F13" s="139">
        <v>12.51</v>
      </c>
    </row>
    <row r="14" spans="1:7" x14ac:dyDescent="0.25">
      <c r="A14" s="8">
        <v>13</v>
      </c>
      <c r="B14" s="138">
        <v>365.32</v>
      </c>
      <c r="C14" s="138">
        <v>11.86</v>
      </c>
      <c r="D14" s="138">
        <v>55.83</v>
      </c>
      <c r="E14" s="138">
        <v>51.7</v>
      </c>
      <c r="F14" s="139">
        <v>6.8</v>
      </c>
    </row>
    <row r="15" spans="1:7" x14ac:dyDescent="0.25">
      <c r="A15" s="8">
        <v>14</v>
      </c>
      <c r="B15" s="138">
        <v>415.51</v>
      </c>
      <c r="C15" s="138">
        <v>12.75</v>
      </c>
      <c r="D15" s="138">
        <v>46.25</v>
      </c>
      <c r="E15" s="138">
        <v>29.09</v>
      </c>
      <c r="F15" s="139">
        <v>11.98</v>
      </c>
    </row>
    <row r="16" spans="1:7" x14ac:dyDescent="0.25">
      <c r="A16" s="8">
        <v>15</v>
      </c>
      <c r="B16" s="138">
        <v>366.3</v>
      </c>
      <c r="C16" s="138">
        <v>6.45</v>
      </c>
      <c r="D16" s="138">
        <v>51.49</v>
      </c>
      <c r="E16" s="138">
        <v>37.520000000000003</v>
      </c>
      <c r="F16" s="139">
        <v>11.05</v>
      </c>
    </row>
    <row r="17" spans="1:6" x14ac:dyDescent="0.25">
      <c r="A17" s="8">
        <v>16</v>
      </c>
      <c r="B17" s="138">
        <v>409.82</v>
      </c>
      <c r="C17" s="138">
        <v>10.08</v>
      </c>
      <c r="D17" s="138">
        <v>42.49</v>
      </c>
      <c r="E17" s="138">
        <v>41.42</v>
      </c>
      <c r="F17" s="139">
        <v>7.88</v>
      </c>
    </row>
    <row r="18" spans="1:6" x14ac:dyDescent="0.25">
      <c r="A18" s="8">
        <v>17</v>
      </c>
      <c r="B18" s="138">
        <v>361.01</v>
      </c>
      <c r="C18" s="138">
        <v>4.87</v>
      </c>
      <c r="D18" s="138">
        <v>58.46</v>
      </c>
      <c r="E18" s="138">
        <v>44.57</v>
      </c>
      <c r="F18" s="139">
        <v>14.48</v>
      </c>
    </row>
    <row r="19" spans="1:6" x14ac:dyDescent="0.25">
      <c r="A19" s="8">
        <v>18</v>
      </c>
      <c r="B19" s="138">
        <v>365.12</v>
      </c>
      <c r="C19" s="138">
        <v>11.07</v>
      </c>
      <c r="D19" s="138">
        <v>45.32</v>
      </c>
      <c r="E19" s="138">
        <v>48.98</v>
      </c>
      <c r="F19" s="139">
        <v>9.06</v>
      </c>
    </row>
    <row r="20" spans="1:6" x14ac:dyDescent="0.25">
      <c r="A20" s="8">
        <v>19</v>
      </c>
      <c r="B20" s="138">
        <v>529.96</v>
      </c>
      <c r="C20" s="138">
        <v>12.72</v>
      </c>
      <c r="D20" s="138">
        <v>72.16</v>
      </c>
      <c r="E20" s="138">
        <v>40.58</v>
      </c>
      <c r="F20" s="139">
        <v>12.35</v>
      </c>
    </row>
    <row r="21" spans="1:6" x14ac:dyDescent="0.25">
      <c r="A21" s="8">
        <v>20</v>
      </c>
      <c r="B21" s="138">
        <v>425.58</v>
      </c>
      <c r="C21" s="138">
        <v>11.47</v>
      </c>
      <c r="D21" s="138">
        <v>33.6</v>
      </c>
      <c r="E21" s="138">
        <v>82.36</v>
      </c>
      <c r="F21" s="139">
        <v>9.3000000000000007</v>
      </c>
    </row>
    <row r="22" spans="1:6" x14ac:dyDescent="0.25">
      <c r="A22" s="8">
        <v>21</v>
      </c>
      <c r="B22" s="138">
        <v>548.66999999999996</v>
      </c>
      <c r="C22" s="138">
        <v>10.58</v>
      </c>
      <c r="D22" s="138">
        <v>47.14</v>
      </c>
      <c r="E22" s="138">
        <v>52.85</v>
      </c>
      <c r="F22" s="139">
        <v>12.97</v>
      </c>
    </row>
    <row r="23" spans="1:6" x14ac:dyDescent="0.25">
      <c r="A23" s="8">
        <v>22</v>
      </c>
      <c r="B23" s="138">
        <v>656.11</v>
      </c>
      <c r="C23" s="138">
        <v>12.33</v>
      </c>
      <c r="D23" s="138">
        <v>68.56</v>
      </c>
      <c r="E23" s="138">
        <v>69.69</v>
      </c>
      <c r="F23" s="139">
        <v>19.27</v>
      </c>
    </row>
    <row r="24" spans="1:6" x14ac:dyDescent="0.25">
      <c r="A24" s="8">
        <v>23</v>
      </c>
      <c r="B24" s="138">
        <v>438.83</v>
      </c>
      <c r="C24" s="138">
        <v>10.84</v>
      </c>
      <c r="D24" s="138">
        <v>60.24</v>
      </c>
      <c r="E24" s="138">
        <v>38.24</v>
      </c>
      <c r="F24" s="139">
        <v>13.33</v>
      </c>
    </row>
    <row r="25" spans="1:6" x14ac:dyDescent="0.25">
      <c r="A25" s="8">
        <v>24</v>
      </c>
      <c r="B25" s="138">
        <v>412.2</v>
      </c>
      <c r="C25" s="138">
        <v>10.54</v>
      </c>
      <c r="D25" s="138">
        <v>55.02</v>
      </c>
      <c r="E25" s="138">
        <v>46.14</v>
      </c>
      <c r="F25" s="139">
        <v>11.56</v>
      </c>
    </row>
    <row r="26" spans="1:6" x14ac:dyDescent="0.25">
      <c r="A26" s="8">
        <v>25</v>
      </c>
      <c r="B26" s="138">
        <v>445.37</v>
      </c>
      <c r="C26" s="138">
        <v>10.4</v>
      </c>
      <c r="D26" s="138">
        <v>56.03</v>
      </c>
      <c r="E26" s="138">
        <v>39.979999999999997</v>
      </c>
      <c r="F26" s="139">
        <v>14.24</v>
      </c>
    </row>
    <row r="27" spans="1:6" x14ac:dyDescent="0.25">
      <c r="A27" s="8">
        <v>26</v>
      </c>
      <c r="B27" s="138">
        <v>634.71</v>
      </c>
      <c r="C27" s="138">
        <v>12.13</v>
      </c>
      <c r="D27" s="138">
        <v>60.39</v>
      </c>
      <c r="E27" s="138">
        <v>63.54</v>
      </c>
      <c r="F27" s="139">
        <v>17.350000000000001</v>
      </c>
    </row>
    <row r="28" spans="1:6" x14ac:dyDescent="0.25">
      <c r="A28" s="8">
        <v>27</v>
      </c>
      <c r="B28" s="138">
        <v>449.15</v>
      </c>
      <c r="C28" s="138">
        <v>7.28</v>
      </c>
      <c r="D28" s="138">
        <v>54.28</v>
      </c>
      <c r="E28" s="138">
        <v>57.43</v>
      </c>
      <c r="F28" s="139">
        <v>6.88</v>
      </c>
    </row>
    <row r="29" spans="1:6" x14ac:dyDescent="0.25">
      <c r="A29" s="8">
        <v>28</v>
      </c>
      <c r="B29" s="138">
        <v>464.53</v>
      </c>
      <c r="C29" s="138">
        <v>13.54</v>
      </c>
      <c r="D29" s="138">
        <v>53.22</v>
      </c>
      <c r="E29" s="138">
        <v>83.29</v>
      </c>
      <c r="F29" s="139">
        <v>10.039999999999999</v>
      </c>
    </row>
    <row r="30" spans="1:6" x14ac:dyDescent="0.25">
      <c r="A30" s="8">
        <v>29</v>
      </c>
      <c r="B30" s="138">
        <v>482.98</v>
      </c>
      <c r="C30" s="138">
        <v>9.3800000000000008</v>
      </c>
      <c r="D30" s="138">
        <v>57.15</v>
      </c>
      <c r="E30" s="138">
        <v>26.89</v>
      </c>
      <c r="F30" s="139">
        <v>14</v>
      </c>
    </row>
    <row r="31" spans="1:6" x14ac:dyDescent="0.25">
      <c r="A31" s="8">
        <v>30</v>
      </c>
      <c r="B31" s="138">
        <v>399.45</v>
      </c>
      <c r="C31" s="138">
        <v>9.16</v>
      </c>
      <c r="D31" s="138">
        <v>56.24</v>
      </c>
      <c r="E31" s="138">
        <v>47.83</v>
      </c>
      <c r="F31" s="139">
        <v>9.8800000000000008</v>
      </c>
    </row>
    <row r="32" spans="1:6" x14ac:dyDescent="0.25">
      <c r="A32" s="8">
        <v>31</v>
      </c>
      <c r="B32" s="138">
        <v>563.15</v>
      </c>
      <c r="C32" s="138">
        <v>9.4499999999999993</v>
      </c>
      <c r="D32" s="138">
        <v>59.34</v>
      </c>
      <c r="E32" s="138">
        <v>61.96</v>
      </c>
      <c r="F32" s="139">
        <v>12.44</v>
      </c>
    </row>
    <row r="33" spans="1:6" x14ac:dyDescent="0.25">
      <c r="A33" s="8">
        <v>32</v>
      </c>
      <c r="B33" s="138">
        <v>283.95999999999998</v>
      </c>
      <c r="C33" s="138">
        <v>9.36</v>
      </c>
      <c r="D33" s="138">
        <v>43.27</v>
      </c>
      <c r="E33" s="138">
        <v>26.6</v>
      </c>
      <c r="F33" s="139">
        <v>9.82</v>
      </c>
    </row>
    <row r="34" spans="1:6" x14ac:dyDescent="0.25">
      <c r="A34" s="8">
        <v>33</v>
      </c>
      <c r="B34" s="138">
        <v>315.19</v>
      </c>
      <c r="C34" s="138">
        <v>8.82</v>
      </c>
      <c r="D34" s="138">
        <v>33.97</v>
      </c>
      <c r="E34" s="138">
        <v>34.72</v>
      </c>
      <c r="F34" s="139">
        <v>8.25</v>
      </c>
    </row>
    <row r="35" spans="1:6" x14ac:dyDescent="0.25">
      <c r="A35" s="8">
        <v>34</v>
      </c>
      <c r="B35" s="138">
        <v>430.05</v>
      </c>
      <c r="C35" s="138">
        <v>7.3</v>
      </c>
      <c r="D35" s="138">
        <v>50.6</v>
      </c>
      <c r="E35" s="138">
        <v>57.49</v>
      </c>
      <c r="F35" s="139">
        <v>16.739999999999998</v>
      </c>
    </row>
    <row r="36" spans="1:6" x14ac:dyDescent="0.25">
      <c r="A36" s="8">
        <v>35</v>
      </c>
      <c r="B36" s="138">
        <v>465.33</v>
      </c>
      <c r="C36" s="138">
        <v>7.41</v>
      </c>
      <c r="D36" s="138">
        <v>48.03</v>
      </c>
      <c r="E36" s="138">
        <v>41.33</v>
      </c>
      <c r="F36" s="139">
        <v>10.65</v>
      </c>
    </row>
    <row r="37" spans="1:6" x14ac:dyDescent="0.25">
      <c r="A37" s="8">
        <v>36</v>
      </c>
      <c r="B37" s="138">
        <v>589.27</v>
      </c>
      <c r="C37" s="138">
        <v>8.4700000000000006</v>
      </c>
      <c r="D37" s="138">
        <v>42.88</v>
      </c>
      <c r="E37" s="138">
        <v>56.26</v>
      </c>
      <c r="F37" s="139">
        <v>13.9</v>
      </c>
    </row>
    <row r="38" spans="1:6" x14ac:dyDescent="0.25">
      <c r="A38" s="8">
        <v>37</v>
      </c>
      <c r="B38" s="138">
        <v>326.81</v>
      </c>
      <c r="C38" s="138">
        <v>8.9600000000000009</v>
      </c>
      <c r="D38" s="138">
        <v>30.49</v>
      </c>
      <c r="E38" s="138">
        <v>50.76</v>
      </c>
      <c r="F38" s="139">
        <v>9.39</v>
      </c>
    </row>
    <row r="39" spans="1:6" x14ac:dyDescent="0.25">
      <c r="A39" s="8">
        <v>38</v>
      </c>
      <c r="B39" s="138">
        <v>395.67</v>
      </c>
      <c r="C39" s="138">
        <v>13.54</v>
      </c>
      <c r="D39" s="138">
        <v>44.01</v>
      </c>
      <c r="E39" s="138">
        <v>38.46</v>
      </c>
      <c r="F39" s="139">
        <v>9.14</v>
      </c>
    </row>
    <row r="40" spans="1:6" x14ac:dyDescent="0.25">
      <c r="A40" s="8">
        <v>39</v>
      </c>
      <c r="B40" s="138">
        <v>439.24</v>
      </c>
      <c r="C40" s="138">
        <v>6.54</v>
      </c>
      <c r="D40" s="138">
        <v>49.75</v>
      </c>
      <c r="E40" s="138">
        <v>18.89</v>
      </c>
      <c r="F40" s="139">
        <v>14.34</v>
      </c>
    </row>
    <row r="41" spans="1:6" x14ac:dyDescent="0.25">
      <c r="A41" s="8">
        <v>40</v>
      </c>
      <c r="B41" s="138">
        <v>456.59</v>
      </c>
      <c r="C41" s="138">
        <v>6.97</v>
      </c>
      <c r="D41" s="138">
        <v>51.94</v>
      </c>
      <c r="E41" s="138">
        <v>50.45</v>
      </c>
      <c r="F41" s="139">
        <v>10.9</v>
      </c>
    </row>
    <row r="42" spans="1:6" x14ac:dyDescent="0.25">
      <c r="A42" s="8">
        <v>41</v>
      </c>
      <c r="B42" s="138">
        <v>500.93</v>
      </c>
      <c r="C42" s="138">
        <v>10.24</v>
      </c>
      <c r="D42" s="138">
        <v>36.479999999999997</v>
      </c>
      <c r="E42" s="138">
        <v>46.36</v>
      </c>
      <c r="F42" s="139">
        <v>11.64</v>
      </c>
    </row>
    <row r="43" spans="1:6" x14ac:dyDescent="0.25">
      <c r="A43" s="8">
        <v>42</v>
      </c>
      <c r="B43" s="138">
        <v>618.82000000000005</v>
      </c>
      <c r="C43" s="138">
        <v>13.62</v>
      </c>
      <c r="D43" s="138">
        <v>46.79</v>
      </c>
      <c r="E43" s="138">
        <v>63.67</v>
      </c>
      <c r="F43" s="139">
        <v>15.43</v>
      </c>
    </row>
    <row r="44" spans="1:6" x14ac:dyDescent="0.25">
      <c r="A44" s="8">
        <v>43</v>
      </c>
      <c r="B44" s="138">
        <v>356.2</v>
      </c>
      <c r="C44" s="138">
        <v>8.49</v>
      </c>
      <c r="D44" s="138">
        <v>51.88</v>
      </c>
      <c r="E44" s="138">
        <v>46.13</v>
      </c>
      <c r="F44" s="139">
        <v>13.85</v>
      </c>
    </row>
    <row r="45" spans="1:6" x14ac:dyDescent="0.25">
      <c r="A45" s="8">
        <v>44</v>
      </c>
      <c r="B45" s="138">
        <v>447.52</v>
      </c>
      <c r="C45" s="138">
        <v>8.02</v>
      </c>
      <c r="D45" s="138">
        <v>30.25</v>
      </c>
      <c r="E45" s="138">
        <v>35.869999999999997</v>
      </c>
      <c r="F45" s="139">
        <v>14.25</v>
      </c>
    </row>
    <row r="46" spans="1:6" x14ac:dyDescent="0.25">
      <c r="A46" s="8">
        <v>45</v>
      </c>
      <c r="B46" s="138">
        <v>338.28</v>
      </c>
      <c r="C46" s="138">
        <v>10.54</v>
      </c>
      <c r="D46" s="138">
        <v>44.43</v>
      </c>
      <c r="E46" s="138">
        <v>47.11</v>
      </c>
      <c r="F46" s="139">
        <v>11.43</v>
      </c>
    </row>
    <row r="47" spans="1:6" x14ac:dyDescent="0.25">
      <c r="A47" s="8">
        <v>46</v>
      </c>
      <c r="B47" s="138">
        <v>130.93</v>
      </c>
      <c r="C47" s="138">
        <v>8.89</v>
      </c>
      <c r="D47" s="138">
        <v>39.340000000000003</v>
      </c>
      <c r="E47" s="138">
        <v>43</v>
      </c>
      <c r="F47" s="139">
        <v>6.62</v>
      </c>
    </row>
    <row r="48" spans="1:6" x14ac:dyDescent="0.25">
      <c r="A48" s="8">
        <v>47</v>
      </c>
      <c r="B48" s="138">
        <v>481.22</v>
      </c>
      <c r="C48" s="138">
        <v>11.27</v>
      </c>
      <c r="D48" s="138">
        <v>50.48</v>
      </c>
      <c r="E48" s="138">
        <v>65.72</v>
      </c>
      <c r="F48" s="139">
        <v>10.16</v>
      </c>
    </row>
    <row r="49" spans="1:6" x14ac:dyDescent="0.25">
      <c r="A49" s="8">
        <v>48</v>
      </c>
      <c r="B49" s="138">
        <v>391.85</v>
      </c>
      <c r="C49" s="138">
        <v>8.8699999999999992</v>
      </c>
      <c r="D49" s="138">
        <v>53.6</v>
      </c>
      <c r="E49" s="138">
        <v>42.21</v>
      </c>
      <c r="F49" s="139">
        <v>9.92</v>
      </c>
    </row>
    <row r="50" spans="1:6" x14ac:dyDescent="0.25">
      <c r="A50" s="8">
        <v>49</v>
      </c>
      <c r="B50" s="138">
        <v>460.46</v>
      </c>
      <c r="C50" s="138">
        <v>5.27</v>
      </c>
      <c r="D50" s="138">
        <v>49.41</v>
      </c>
      <c r="E50" s="138">
        <v>25.56</v>
      </c>
      <c r="F50" s="139">
        <v>15.01</v>
      </c>
    </row>
    <row r="51" spans="1:6" x14ac:dyDescent="0.25">
      <c r="A51" s="12">
        <v>50</v>
      </c>
      <c r="B51" s="140">
        <v>438.84</v>
      </c>
      <c r="C51" s="140">
        <v>8.73</v>
      </c>
      <c r="D51" s="140">
        <v>56.41</v>
      </c>
      <c r="E51" s="140">
        <v>47.97</v>
      </c>
      <c r="F51" s="141">
        <v>9.8699999999999992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B11A3-A46C-4B44-A0E6-4A4D369A05D9}">
  <dimension ref="A1:N30"/>
  <sheetViews>
    <sheetView workbookViewId="0">
      <selection activeCell="I16" sqref="I16"/>
    </sheetView>
  </sheetViews>
  <sheetFormatPr defaultRowHeight="15" x14ac:dyDescent="0.25"/>
  <sheetData>
    <row r="1" spans="1:14" x14ac:dyDescent="0.25">
      <c r="A1" s="142" t="s">
        <v>0</v>
      </c>
      <c r="B1" s="142" t="s">
        <v>512</v>
      </c>
      <c r="C1" s="143" t="s">
        <v>513</v>
      </c>
      <c r="D1" s="143" t="s">
        <v>514</v>
      </c>
      <c r="E1" s="143" t="s">
        <v>515</v>
      </c>
      <c r="F1" s="142" t="s">
        <v>516</v>
      </c>
      <c r="G1" s="143" t="s">
        <v>517</v>
      </c>
      <c r="H1" s="142" t="s">
        <v>518</v>
      </c>
      <c r="I1" s="142" t="s">
        <v>1</v>
      </c>
      <c r="J1" s="142" t="s">
        <v>519</v>
      </c>
      <c r="K1" s="142" t="s">
        <v>520</v>
      </c>
      <c r="L1" s="142" t="s">
        <v>521</v>
      </c>
      <c r="M1" s="142" t="s">
        <v>522</v>
      </c>
      <c r="N1" s="167" t="s">
        <v>189</v>
      </c>
    </row>
    <row r="2" spans="1:14" x14ac:dyDescent="0.25">
      <c r="A2" s="144">
        <v>1</v>
      </c>
      <c r="B2" s="145" t="s">
        <v>523</v>
      </c>
      <c r="C2" s="146">
        <v>8243</v>
      </c>
      <c r="D2" s="147">
        <v>16.899999999999999</v>
      </c>
      <c r="E2" s="148">
        <v>12.202</v>
      </c>
      <c r="F2" s="149">
        <v>1</v>
      </c>
      <c r="G2" s="148">
        <v>21</v>
      </c>
      <c r="H2" s="145" t="s">
        <v>524</v>
      </c>
      <c r="I2" s="150">
        <v>577</v>
      </c>
      <c r="J2" s="145">
        <v>70</v>
      </c>
      <c r="K2" s="145" t="s">
        <v>525</v>
      </c>
      <c r="L2" s="145" t="s">
        <v>526</v>
      </c>
      <c r="M2" s="151" t="s">
        <v>527</v>
      </c>
      <c r="N2" s="169" t="s">
        <v>621</v>
      </c>
    </row>
    <row r="3" spans="1:14" x14ac:dyDescent="0.25">
      <c r="A3" s="152">
        <v>2</v>
      </c>
      <c r="B3" t="s">
        <v>528</v>
      </c>
      <c r="C3" s="153">
        <v>2564</v>
      </c>
      <c r="D3" s="154">
        <v>32.5</v>
      </c>
      <c r="E3" s="155">
        <f>3.077+1.849</f>
        <v>4.9260000000000002</v>
      </c>
      <c r="F3" s="156">
        <v>1</v>
      </c>
      <c r="G3" s="155">
        <v>16</v>
      </c>
      <c r="H3" t="s">
        <v>529</v>
      </c>
      <c r="I3" s="157">
        <v>577</v>
      </c>
      <c r="J3">
        <v>225</v>
      </c>
      <c r="K3" t="s">
        <v>530</v>
      </c>
      <c r="L3" t="s">
        <v>526</v>
      </c>
      <c r="M3" s="158" t="s">
        <v>527</v>
      </c>
      <c r="N3" s="169" t="s">
        <v>622</v>
      </c>
    </row>
    <row r="4" spans="1:14" x14ac:dyDescent="0.25">
      <c r="A4" s="152">
        <v>3</v>
      </c>
      <c r="B4" t="s">
        <v>531</v>
      </c>
      <c r="C4" s="153">
        <v>9930</v>
      </c>
      <c r="D4" s="154">
        <v>26.51</v>
      </c>
      <c r="E4" s="155">
        <v>19.085000000000001</v>
      </c>
      <c r="F4" s="156">
        <v>0</v>
      </c>
      <c r="G4" s="155">
        <v>2264</v>
      </c>
      <c r="H4" t="s">
        <v>532</v>
      </c>
      <c r="I4" s="157">
        <v>2979</v>
      </c>
      <c r="J4">
        <v>300</v>
      </c>
      <c r="K4" t="s">
        <v>533</v>
      </c>
      <c r="L4" t="s">
        <v>526</v>
      </c>
      <c r="M4" s="158" t="s">
        <v>534</v>
      </c>
      <c r="N4" s="169" t="s">
        <v>623</v>
      </c>
    </row>
    <row r="5" spans="1:14" x14ac:dyDescent="0.25">
      <c r="A5" s="152">
        <v>4</v>
      </c>
      <c r="B5" t="s">
        <v>535</v>
      </c>
      <c r="C5" s="153">
        <v>4808</v>
      </c>
      <c r="D5" s="154">
        <v>15.85</v>
      </c>
      <c r="E5" s="155">
        <v>12.023</v>
      </c>
      <c r="F5" s="156">
        <v>1</v>
      </c>
      <c r="G5" s="155">
        <v>16</v>
      </c>
      <c r="H5" t="s">
        <v>536</v>
      </c>
      <c r="I5" s="157">
        <v>577</v>
      </c>
      <c r="J5">
        <v>120</v>
      </c>
      <c r="K5" t="s">
        <v>537</v>
      </c>
      <c r="L5" t="s">
        <v>526</v>
      </c>
      <c r="M5" s="158" t="s">
        <v>527</v>
      </c>
      <c r="N5" s="169" t="s">
        <v>624</v>
      </c>
    </row>
    <row r="6" spans="1:14" x14ac:dyDescent="0.25">
      <c r="A6" s="152">
        <v>5</v>
      </c>
      <c r="B6" t="s">
        <v>538</v>
      </c>
      <c r="C6" s="153">
        <v>70538</v>
      </c>
      <c r="D6" s="154">
        <v>15.85</v>
      </c>
      <c r="E6" s="155">
        <v>12.023</v>
      </c>
      <c r="F6" s="156">
        <v>0</v>
      </c>
      <c r="G6" s="155">
        <v>28</v>
      </c>
      <c r="H6" t="s">
        <v>536</v>
      </c>
      <c r="I6" s="157">
        <v>5643</v>
      </c>
      <c r="J6">
        <v>80</v>
      </c>
      <c r="K6" t="s">
        <v>539</v>
      </c>
      <c r="L6" t="s">
        <v>540</v>
      </c>
      <c r="M6" s="158" t="s">
        <v>541</v>
      </c>
      <c r="N6" s="169" t="s">
        <v>625</v>
      </c>
    </row>
    <row r="7" spans="1:14" x14ac:dyDescent="0.25">
      <c r="A7" s="152">
        <v>6</v>
      </c>
      <c r="B7" t="s">
        <v>542</v>
      </c>
      <c r="C7" s="153">
        <v>107480</v>
      </c>
      <c r="D7" s="154">
        <v>29.8</v>
      </c>
      <c r="E7" s="155">
        <v>19.995999999999999</v>
      </c>
      <c r="F7" s="156">
        <v>0</v>
      </c>
      <c r="G7" s="155">
        <v>26</v>
      </c>
      <c r="H7" t="s">
        <v>543</v>
      </c>
      <c r="I7" s="157">
        <v>10748</v>
      </c>
      <c r="J7">
        <v>100</v>
      </c>
      <c r="K7" t="s">
        <v>544</v>
      </c>
      <c r="L7" t="s">
        <v>545</v>
      </c>
      <c r="M7" s="158" t="s">
        <v>546</v>
      </c>
      <c r="N7" s="169" t="s">
        <v>626</v>
      </c>
    </row>
    <row r="8" spans="1:14" x14ac:dyDescent="0.25">
      <c r="A8" s="152">
        <v>7</v>
      </c>
      <c r="B8" t="s">
        <v>547</v>
      </c>
      <c r="C8" s="153">
        <v>33950</v>
      </c>
      <c r="D8" s="154">
        <v>14.8</v>
      </c>
      <c r="E8" s="155">
        <v>8.1280000000000001</v>
      </c>
      <c r="F8" s="156">
        <v>0</v>
      </c>
      <c r="G8" s="155">
        <v>15</v>
      </c>
      <c r="H8" t="s">
        <v>548</v>
      </c>
      <c r="I8" s="157">
        <v>3395</v>
      </c>
      <c r="J8">
        <v>100</v>
      </c>
      <c r="K8" t="s">
        <v>549</v>
      </c>
      <c r="L8" t="s">
        <v>526</v>
      </c>
      <c r="M8" s="158" t="s">
        <v>550</v>
      </c>
      <c r="N8" s="169" t="s">
        <v>627</v>
      </c>
    </row>
    <row r="9" spans="1:14" x14ac:dyDescent="0.25">
      <c r="A9" s="152">
        <v>8</v>
      </c>
      <c r="B9" t="s">
        <v>551</v>
      </c>
      <c r="C9" s="153">
        <v>192933</v>
      </c>
      <c r="D9" s="154">
        <v>14.8</v>
      </c>
      <c r="E9" s="155">
        <v>8.1280000000000001</v>
      </c>
      <c r="F9" s="156">
        <v>0</v>
      </c>
      <c r="G9" s="155">
        <v>28</v>
      </c>
      <c r="H9" t="s">
        <v>548</v>
      </c>
      <c r="I9" s="157">
        <v>5788</v>
      </c>
      <c r="J9">
        <v>30</v>
      </c>
      <c r="K9" t="s">
        <v>552</v>
      </c>
      <c r="L9" t="s">
        <v>526</v>
      </c>
      <c r="M9" s="158" t="s">
        <v>553</v>
      </c>
      <c r="N9" s="169" t="s">
        <v>628</v>
      </c>
    </row>
    <row r="10" spans="1:14" x14ac:dyDescent="0.25">
      <c r="A10" s="152">
        <v>9</v>
      </c>
      <c r="B10" t="s">
        <v>554</v>
      </c>
      <c r="C10" s="153">
        <v>123000</v>
      </c>
      <c r="D10" s="154">
        <v>12.3</v>
      </c>
      <c r="E10" s="155">
        <f>3.794*2</f>
        <v>7.5880000000000001</v>
      </c>
      <c r="F10" s="156">
        <v>0</v>
      </c>
      <c r="G10" s="155">
        <v>26</v>
      </c>
      <c r="H10" t="s">
        <v>555</v>
      </c>
      <c r="I10" s="157">
        <v>36900</v>
      </c>
      <c r="J10">
        <f>10*30</f>
        <v>300</v>
      </c>
      <c r="K10" t="s">
        <v>556</v>
      </c>
      <c r="L10" t="s">
        <v>540</v>
      </c>
      <c r="M10" s="158" t="s">
        <v>265</v>
      </c>
      <c r="N10" s="169" t="s">
        <v>629</v>
      </c>
    </row>
    <row r="11" spans="1:14" x14ac:dyDescent="0.25">
      <c r="A11" s="152">
        <v>10</v>
      </c>
      <c r="B11" t="s">
        <v>557</v>
      </c>
      <c r="C11" s="153">
        <v>131180</v>
      </c>
      <c r="D11" s="154">
        <v>17.64</v>
      </c>
      <c r="E11" s="155">
        <v>4.9000000000000002E-2</v>
      </c>
      <c r="F11" s="156">
        <v>1</v>
      </c>
      <c r="G11" s="155">
        <v>5</v>
      </c>
      <c r="H11" t="s">
        <v>558</v>
      </c>
      <c r="I11" s="157">
        <v>13118</v>
      </c>
      <c r="J11">
        <v>100</v>
      </c>
      <c r="K11" t="s">
        <v>559</v>
      </c>
      <c r="L11" t="s">
        <v>540</v>
      </c>
      <c r="M11" s="158" t="s">
        <v>546</v>
      </c>
      <c r="N11" s="169" t="s">
        <v>630</v>
      </c>
    </row>
    <row r="12" spans="1:14" x14ac:dyDescent="0.25">
      <c r="A12" s="152">
        <v>11</v>
      </c>
      <c r="B12" t="s">
        <v>560</v>
      </c>
      <c r="C12" s="153">
        <v>8643</v>
      </c>
      <c r="D12" s="154">
        <v>16.899999999999999</v>
      </c>
      <c r="E12" s="155">
        <v>12.202</v>
      </c>
      <c r="F12" s="156">
        <v>1</v>
      </c>
      <c r="G12" s="155">
        <v>14</v>
      </c>
      <c r="H12" t="s">
        <v>524</v>
      </c>
      <c r="I12" s="157">
        <v>1815</v>
      </c>
      <c r="J12">
        <v>210</v>
      </c>
      <c r="K12" t="s">
        <v>561</v>
      </c>
      <c r="L12" t="s">
        <v>526</v>
      </c>
      <c r="M12" s="158" t="s">
        <v>562</v>
      </c>
      <c r="N12" s="169" t="s">
        <v>631</v>
      </c>
    </row>
    <row r="13" spans="1:14" x14ac:dyDescent="0.25">
      <c r="A13" s="152">
        <v>12</v>
      </c>
      <c r="B13" t="s">
        <v>563</v>
      </c>
      <c r="C13" s="153">
        <v>25737</v>
      </c>
      <c r="D13" s="154">
        <v>26.51</v>
      </c>
      <c r="E13" s="155">
        <v>4.1000000000000002E-2</v>
      </c>
      <c r="F13" s="156">
        <v>1</v>
      </c>
      <c r="G13" s="155">
        <v>16</v>
      </c>
      <c r="H13" t="s">
        <v>564</v>
      </c>
      <c r="I13" s="157">
        <v>9008</v>
      </c>
      <c r="J13">
        <f>7*50</f>
        <v>350</v>
      </c>
      <c r="K13" t="s">
        <v>565</v>
      </c>
      <c r="L13" t="s">
        <v>566</v>
      </c>
      <c r="M13" s="158" t="s">
        <v>567</v>
      </c>
      <c r="N13" s="168" t="s">
        <v>632</v>
      </c>
    </row>
    <row r="14" spans="1:14" x14ac:dyDescent="0.25">
      <c r="A14" s="152">
        <v>13</v>
      </c>
      <c r="B14" t="s">
        <v>568</v>
      </c>
      <c r="C14" s="153">
        <v>1839</v>
      </c>
      <c r="D14" s="154">
        <v>15</v>
      </c>
      <c r="E14" s="155">
        <f>2.551+1.966</f>
        <v>4.5170000000000003</v>
      </c>
      <c r="F14" s="156">
        <v>0</v>
      </c>
      <c r="G14" s="155">
        <v>29</v>
      </c>
      <c r="H14" t="s">
        <v>569</v>
      </c>
      <c r="I14" s="157">
        <v>2317</v>
      </c>
      <c r="J14">
        <f>6*210</f>
        <v>1260</v>
      </c>
      <c r="K14" t="s">
        <v>570</v>
      </c>
      <c r="L14" t="s">
        <v>540</v>
      </c>
      <c r="M14" s="158" t="s">
        <v>546</v>
      </c>
    </row>
    <row r="15" spans="1:14" x14ac:dyDescent="0.25">
      <c r="A15" s="152">
        <v>14</v>
      </c>
      <c r="B15" t="s">
        <v>571</v>
      </c>
      <c r="C15" s="153">
        <v>4755</v>
      </c>
      <c r="D15" s="154">
        <v>18.690000000000001</v>
      </c>
      <c r="E15" s="155">
        <v>8.593</v>
      </c>
      <c r="F15" s="156">
        <v>0</v>
      </c>
      <c r="G15" s="155">
        <v>16</v>
      </c>
      <c r="H15" t="s">
        <v>572</v>
      </c>
      <c r="I15" s="157">
        <v>1902</v>
      </c>
      <c r="J15">
        <v>400</v>
      </c>
      <c r="K15" t="s">
        <v>573</v>
      </c>
      <c r="L15" t="s">
        <v>566</v>
      </c>
      <c r="M15" s="158" t="s">
        <v>574</v>
      </c>
    </row>
    <row r="16" spans="1:14" x14ac:dyDescent="0.25">
      <c r="A16" s="152">
        <v>15</v>
      </c>
      <c r="B16" t="s">
        <v>575</v>
      </c>
      <c r="C16" s="153">
        <v>613029</v>
      </c>
      <c r="D16" s="154">
        <v>37.1</v>
      </c>
      <c r="E16" s="155">
        <v>1.3599999999999999E-2</v>
      </c>
      <c r="F16" s="156">
        <v>1</v>
      </c>
      <c r="G16" s="155">
        <v>4</v>
      </c>
      <c r="H16" t="s">
        <v>576</v>
      </c>
      <c r="I16" s="157">
        <v>10728</v>
      </c>
      <c r="J16">
        <f>5*3.5</f>
        <v>17.5</v>
      </c>
      <c r="K16" t="s">
        <v>577</v>
      </c>
      <c r="L16" t="s">
        <v>566</v>
      </c>
      <c r="M16" s="158" t="s">
        <v>578</v>
      </c>
    </row>
    <row r="17" spans="1:13" x14ac:dyDescent="0.25">
      <c r="A17" s="152">
        <v>16</v>
      </c>
      <c r="B17" t="s">
        <v>579</v>
      </c>
      <c r="C17" s="153">
        <v>5208</v>
      </c>
      <c r="D17" s="154">
        <v>12.3</v>
      </c>
      <c r="E17" s="155">
        <f>3.794*2</f>
        <v>7.5880000000000001</v>
      </c>
      <c r="F17" s="156">
        <v>0</v>
      </c>
      <c r="G17" s="155">
        <v>55</v>
      </c>
      <c r="H17" t="s">
        <v>555</v>
      </c>
      <c r="I17" s="157">
        <v>6249</v>
      </c>
      <c r="J17">
        <f>20*60</f>
        <v>1200</v>
      </c>
      <c r="K17" t="s">
        <v>580</v>
      </c>
      <c r="L17" t="s">
        <v>566</v>
      </c>
      <c r="M17" s="158" t="s">
        <v>581</v>
      </c>
    </row>
    <row r="18" spans="1:13" x14ac:dyDescent="0.25">
      <c r="A18" s="152">
        <v>17</v>
      </c>
      <c r="B18" t="s">
        <v>582</v>
      </c>
      <c r="C18" s="153">
        <v>94930</v>
      </c>
      <c r="D18" s="154">
        <v>17.64</v>
      </c>
      <c r="E18" s="155">
        <v>10.641</v>
      </c>
      <c r="F18" s="156">
        <v>0</v>
      </c>
      <c r="G18" s="155">
        <v>155</v>
      </c>
      <c r="H18" t="s">
        <v>583</v>
      </c>
      <c r="I18" s="157">
        <v>9493</v>
      </c>
      <c r="J18">
        <v>100</v>
      </c>
      <c r="K18" t="s">
        <v>584</v>
      </c>
      <c r="L18" t="s">
        <v>566</v>
      </c>
      <c r="M18" s="158" t="s">
        <v>585</v>
      </c>
    </row>
    <row r="19" spans="1:13" x14ac:dyDescent="0.25">
      <c r="A19" s="152">
        <v>18</v>
      </c>
      <c r="B19" t="s">
        <v>586</v>
      </c>
      <c r="C19" s="153">
        <v>64138</v>
      </c>
      <c r="D19" s="154">
        <v>22.63</v>
      </c>
      <c r="E19" s="155">
        <v>14.198</v>
      </c>
      <c r="F19" s="156">
        <v>1</v>
      </c>
      <c r="G19" s="155">
        <v>347</v>
      </c>
      <c r="H19" t="s">
        <v>587</v>
      </c>
      <c r="I19" s="157">
        <v>5131</v>
      </c>
      <c r="J19">
        <v>80</v>
      </c>
      <c r="K19" t="s">
        <v>588</v>
      </c>
      <c r="L19" t="s">
        <v>540</v>
      </c>
      <c r="M19" s="158" t="s">
        <v>589</v>
      </c>
    </row>
    <row r="20" spans="1:13" x14ac:dyDescent="0.25">
      <c r="A20" s="152">
        <v>19</v>
      </c>
      <c r="B20" t="s">
        <v>590</v>
      </c>
      <c r="C20" s="153">
        <v>80860</v>
      </c>
      <c r="D20" s="154">
        <v>18.690000000000001</v>
      </c>
      <c r="E20" s="155">
        <v>8.593</v>
      </c>
      <c r="F20" s="156">
        <v>0</v>
      </c>
      <c r="G20" s="155">
        <v>171</v>
      </c>
      <c r="H20" t="s">
        <v>572</v>
      </c>
      <c r="I20" s="157">
        <v>8086</v>
      </c>
      <c r="J20">
        <v>100</v>
      </c>
      <c r="K20" t="s">
        <v>591</v>
      </c>
      <c r="L20" t="s">
        <v>566</v>
      </c>
      <c r="M20" s="158" t="s">
        <v>592</v>
      </c>
    </row>
    <row r="21" spans="1:13" x14ac:dyDescent="0.25">
      <c r="A21" s="152">
        <v>20</v>
      </c>
      <c r="B21" t="s">
        <v>593</v>
      </c>
      <c r="C21" s="153">
        <v>10414</v>
      </c>
      <c r="D21" s="154">
        <v>12.3</v>
      </c>
      <c r="E21" s="155">
        <f>3.794*2</f>
        <v>7.5880000000000001</v>
      </c>
      <c r="F21" s="156">
        <v>1</v>
      </c>
      <c r="G21" s="155">
        <v>342</v>
      </c>
      <c r="H21" t="s">
        <v>555</v>
      </c>
      <c r="I21" s="157">
        <v>1458</v>
      </c>
      <c r="J21">
        <v>140</v>
      </c>
      <c r="K21" t="s">
        <v>594</v>
      </c>
      <c r="L21" t="s">
        <v>566</v>
      </c>
      <c r="M21" s="158" t="s">
        <v>595</v>
      </c>
    </row>
    <row r="22" spans="1:13" x14ac:dyDescent="0.25">
      <c r="A22" s="152">
        <v>21</v>
      </c>
      <c r="B22" t="s">
        <v>596</v>
      </c>
      <c r="C22" s="153">
        <v>9199</v>
      </c>
      <c r="D22" s="154">
        <v>12.3</v>
      </c>
      <c r="E22" s="155">
        <f>3.794*2</f>
        <v>7.5880000000000001</v>
      </c>
      <c r="F22" s="156">
        <v>1</v>
      </c>
      <c r="G22" s="155">
        <v>589</v>
      </c>
      <c r="H22" t="s">
        <v>555</v>
      </c>
      <c r="I22" s="157">
        <v>6439</v>
      </c>
      <c r="J22">
        <v>700</v>
      </c>
      <c r="K22" t="s">
        <v>597</v>
      </c>
      <c r="L22" t="s">
        <v>566</v>
      </c>
      <c r="M22" s="158" t="s">
        <v>598</v>
      </c>
    </row>
    <row r="23" spans="1:13" x14ac:dyDescent="0.25">
      <c r="A23" s="152">
        <v>22</v>
      </c>
      <c r="B23" t="s">
        <v>599</v>
      </c>
      <c r="C23" s="153">
        <v>11578</v>
      </c>
      <c r="D23" s="154">
        <v>29.8</v>
      </c>
      <c r="E23" s="155">
        <v>19.995999999999999</v>
      </c>
      <c r="F23" s="156">
        <v>1</v>
      </c>
      <c r="G23" s="155">
        <v>163</v>
      </c>
      <c r="H23" t="s">
        <v>600</v>
      </c>
      <c r="I23" s="157">
        <v>5789</v>
      </c>
      <c r="J23">
        <v>500</v>
      </c>
      <c r="K23" t="s">
        <v>601</v>
      </c>
      <c r="L23" t="s">
        <v>540</v>
      </c>
      <c r="M23" s="158" t="s">
        <v>602</v>
      </c>
    </row>
    <row r="24" spans="1:13" x14ac:dyDescent="0.25">
      <c r="A24" s="152">
        <v>23</v>
      </c>
      <c r="B24" t="s">
        <v>603</v>
      </c>
      <c r="C24" s="153">
        <v>242144</v>
      </c>
      <c r="D24" s="154">
        <v>29.8</v>
      </c>
      <c r="E24" s="155">
        <v>19.995999999999999</v>
      </c>
      <c r="F24" s="156">
        <v>1</v>
      </c>
      <c r="G24" s="155">
        <v>65</v>
      </c>
      <c r="H24" t="s">
        <v>600</v>
      </c>
      <c r="I24" s="157">
        <v>21793</v>
      </c>
      <c r="J24">
        <v>90</v>
      </c>
      <c r="K24" t="s">
        <v>604</v>
      </c>
      <c r="L24" t="s">
        <v>545</v>
      </c>
      <c r="M24" s="158" t="s">
        <v>605</v>
      </c>
    </row>
    <row r="25" spans="1:13" x14ac:dyDescent="0.25">
      <c r="A25" s="152">
        <v>24</v>
      </c>
      <c r="B25" t="s">
        <v>606</v>
      </c>
      <c r="C25" s="153">
        <v>17120</v>
      </c>
      <c r="D25" s="154">
        <v>9.89</v>
      </c>
      <c r="E25" s="155">
        <v>9.7530000000000001</v>
      </c>
      <c r="F25" s="156">
        <v>0</v>
      </c>
      <c r="G25" s="155">
        <v>106</v>
      </c>
      <c r="H25" t="s">
        <v>607</v>
      </c>
      <c r="I25" s="157">
        <v>5136</v>
      </c>
      <c r="J25">
        <v>300</v>
      </c>
      <c r="K25" t="s">
        <v>608</v>
      </c>
      <c r="L25" t="s">
        <v>545</v>
      </c>
      <c r="M25" s="158" t="s">
        <v>609</v>
      </c>
    </row>
    <row r="26" spans="1:13" x14ac:dyDescent="0.25">
      <c r="A26" s="152">
        <v>25</v>
      </c>
      <c r="B26" t="s">
        <v>610</v>
      </c>
      <c r="C26" s="153">
        <v>11836</v>
      </c>
      <c r="D26" s="154">
        <v>12.3</v>
      </c>
      <c r="E26" s="155">
        <f>3.794*2</f>
        <v>7.5880000000000001</v>
      </c>
      <c r="F26" s="156">
        <v>1</v>
      </c>
      <c r="G26" s="155">
        <v>55</v>
      </c>
      <c r="H26" t="s">
        <v>555</v>
      </c>
      <c r="I26" s="157">
        <v>4971</v>
      </c>
      <c r="J26">
        <v>420</v>
      </c>
      <c r="K26" t="s">
        <v>611</v>
      </c>
      <c r="L26" t="s">
        <v>566</v>
      </c>
      <c r="M26" s="158" t="s">
        <v>595</v>
      </c>
    </row>
    <row r="27" spans="1:13" x14ac:dyDescent="0.25">
      <c r="A27" s="152">
        <v>26</v>
      </c>
      <c r="B27" t="s">
        <v>612</v>
      </c>
      <c r="C27" s="153">
        <v>20250</v>
      </c>
      <c r="D27" s="154">
        <v>16.899999999999999</v>
      </c>
      <c r="E27" s="155">
        <v>12.202</v>
      </c>
      <c r="F27" s="156">
        <v>1</v>
      </c>
      <c r="G27" s="155">
        <v>83</v>
      </c>
      <c r="H27" t="s">
        <v>524</v>
      </c>
      <c r="I27" s="157">
        <v>1215</v>
      </c>
      <c r="J27">
        <v>60</v>
      </c>
      <c r="K27" t="s">
        <v>613</v>
      </c>
      <c r="L27" t="s">
        <v>526</v>
      </c>
      <c r="M27" s="158" t="s">
        <v>562</v>
      </c>
    </row>
    <row r="28" spans="1:13" x14ac:dyDescent="0.25">
      <c r="A28" s="152">
        <v>27</v>
      </c>
      <c r="B28" t="s">
        <v>614</v>
      </c>
      <c r="C28" s="153">
        <v>5416</v>
      </c>
      <c r="D28" s="154">
        <v>12.3</v>
      </c>
      <c r="E28" s="155">
        <f>3.794*2</f>
        <v>7.5880000000000001</v>
      </c>
      <c r="F28" s="156">
        <v>1</v>
      </c>
      <c r="G28" s="155">
        <v>195</v>
      </c>
      <c r="H28" t="s">
        <v>555</v>
      </c>
      <c r="I28" s="157">
        <v>4333</v>
      </c>
      <c r="J28">
        <v>800</v>
      </c>
      <c r="K28" t="s">
        <v>615</v>
      </c>
      <c r="L28" t="s">
        <v>545</v>
      </c>
      <c r="M28" s="158" t="s">
        <v>602</v>
      </c>
    </row>
    <row r="29" spans="1:13" x14ac:dyDescent="0.25">
      <c r="A29" s="152">
        <v>28</v>
      </c>
      <c r="B29" t="s">
        <v>616</v>
      </c>
      <c r="C29" s="153">
        <v>95380</v>
      </c>
      <c r="D29" s="154">
        <v>29.8</v>
      </c>
      <c r="E29" s="155">
        <v>19.995999999999999</v>
      </c>
      <c r="F29" s="156">
        <v>0</v>
      </c>
      <c r="G29" s="155">
        <v>54</v>
      </c>
      <c r="H29" t="s">
        <v>600</v>
      </c>
      <c r="I29" s="157">
        <v>4769</v>
      </c>
      <c r="J29">
        <v>50</v>
      </c>
      <c r="K29" t="s">
        <v>617</v>
      </c>
      <c r="L29" t="s">
        <v>545</v>
      </c>
      <c r="M29" s="158" t="s">
        <v>618</v>
      </c>
    </row>
    <row r="30" spans="1:13" x14ac:dyDescent="0.25">
      <c r="A30" s="159">
        <v>29</v>
      </c>
      <c r="B30" s="160" t="s">
        <v>619</v>
      </c>
      <c r="C30" s="161">
        <v>5241</v>
      </c>
      <c r="D30" s="162">
        <v>29.8</v>
      </c>
      <c r="E30" s="163">
        <v>19.995999999999999</v>
      </c>
      <c r="F30" s="164">
        <v>0</v>
      </c>
      <c r="G30" s="163">
        <v>28</v>
      </c>
      <c r="H30" s="160" t="s">
        <v>600</v>
      </c>
      <c r="I30" s="165">
        <v>5765</v>
      </c>
      <c r="J30" s="160">
        <v>1100</v>
      </c>
      <c r="K30" s="160" t="s">
        <v>620</v>
      </c>
      <c r="L30" s="160" t="s">
        <v>566</v>
      </c>
      <c r="M30" s="166" t="s">
        <v>574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7B461-AB47-4D96-8946-73A6DFF7D419}">
  <dimension ref="A1:H74"/>
  <sheetViews>
    <sheetView workbookViewId="0">
      <selection activeCell="H2" sqref="H2:H6"/>
    </sheetView>
  </sheetViews>
  <sheetFormatPr defaultRowHeight="15" x14ac:dyDescent="0.25"/>
  <sheetData>
    <row r="1" spans="1:8" x14ac:dyDescent="0.25">
      <c r="A1" s="1" t="s">
        <v>0</v>
      </c>
      <c r="B1" s="19" t="s">
        <v>341</v>
      </c>
      <c r="C1" s="2" t="s">
        <v>342</v>
      </c>
      <c r="D1" s="2" t="s">
        <v>343</v>
      </c>
      <c r="E1" s="2" t="s">
        <v>344</v>
      </c>
      <c r="F1" s="2" t="s">
        <v>197</v>
      </c>
      <c r="G1" s="3" t="s">
        <v>633</v>
      </c>
      <c r="H1" s="18" t="s">
        <v>189</v>
      </c>
    </row>
    <row r="2" spans="1:8" x14ac:dyDescent="0.25">
      <c r="A2" s="74">
        <v>1</v>
      </c>
      <c r="B2" s="170" t="s">
        <v>634</v>
      </c>
      <c r="C2" s="75">
        <v>20</v>
      </c>
      <c r="D2" s="86">
        <v>109.3</v>
      </c>
      <c r="E2" s="86">
        <v>74</v>
      </c>
      <c r="F2" s="75">
        <v>3968</v>
      </c>
      <c r="G2" s="171">
        <v>0</v>
      </c>
      <c r="H2" s="23" t="s">
        <v>388</v>
      </c>
    </row>
    <row r="3" spans="1:8" x14ac:dyDescent="0.25">
      <c r="A3" s="78">
        <v>2</v>
      </c>
      <c r="B3" s="172" t="s">
        <v>635</v>
      </c>
      <c r="C3" s="79">
        <v>22</v>
      </c>
      <c r="D3" s="89">
        <v>108.3</v>
      </c>
      <c r="E3" s="89">
        <v>73</v>
      </c>
      <c r="F3" s="79">
        <v>3583</v>
      </c>
      <c r="G3" s="173">
        <v>1</v>
      </c>
      <c r="H3" s="23" t="s">
        <v>389</v>
      </c>
    </row>
    <row r="4" spans="1:8" x14ac:dyDescent="0.25">
      <c r="A4" s="78">
        <v>3</v>
      </c>
      <c r="B4" s="172" t="s">
        <v>636</v>
      </c>
      <c r="C4" s="79">
        <v>22</v>
      </c>
      <c r="D4" s="89">
        <v>182.6</v>
      </c>
      <c r="E4" s="89">
        <v>71.900000000000006</v>
      </c>
      <c r="F4" s="79">
        <v>3470</v>
      </c>
      <c r="G4" s="173">
        <v>0</v>
      </c>
      <c r="H4" s="23" t="s">
        <v>707</v>
      </c>
    </row>
    <row r="5" spans="1:8" x14ac:dyDescent="0.25">
      <c r="A5" s="78">
        <v>4</v>
      </c>
      <c r="B5" s="172" t="s">
        <v>637</v>
      </c>
      <c r="C5" s="79">
        <v>23</v>
      </c>
      <c r="D5" s="89">
        <v>176.5</v>
      </c>
      <c r="E5" s="89">
        <v>70.8</v>
      </c>
      <c r="F5" s="79">
        <v>3527</v>
      </c>
      <c r="G5" s="173">
        <v>0</v>
      </c>
      <c r="H5" s="23" t="s">
        <v>708</v>
      </c>
    </row>
    <row r="6" spans="1:8" x14ac:dyDescent="0.25">
      <c r="A6" s="78">
        <v>5</v>
      </c>
      <c r="B6" s="172" t="s">
        <v>638</v>
      </c>
      <c r="C6" s="79">
        <v>18</v>
      </c>
      <c r="D6" s="89">
        <v>196.9</v>
      </c>
      <c r="E6" s="89">
        <v>73.099999999999994</v>
      </c>
      <c r="F6" s="79">
        <v>3990</v>
      </c>
      <c r="G6" s="173">
        <v>0</v>
      </c>
      <c r="H6" s="23" t="s">
        <v>709</v>
      </c>
    </row>
    <row r="7" spans="1:8" x14ac:dyDescent="0.25">
      <c r="A7" s="78">
        <v>6</v>
      </c>
      <c r="B7" s="172" t="s">
        <v>639</v>
      </c>
      <c r="C7" s="79">
        <v>17</v>
      </c>
      <c r="D7" s="89">
        <v>201.9</v>
      </c>
      <c r="E7" s="89">
        <v>79</v>
      </c>
      <c r="F7" s="79">
        <v>4724</v>
      </c>
      <c r="G7" s="173">
        <v>0</v>
      </c>
    </row>
    <row r="8" spans="1:8" x14ac:dyDescent="0.25">
      <c r="A8" s="78">
        <v>7</v>
      </c>
      <c r="B8" s="172" t="s">
        <v>640</v>
      </c>
      <c r="C8" s="79">
        <v>21</v>
      </c>
      <c r="D8" s="89">
        <v>190.2</v>
      </c>
      <c r="E8" s="89">
        <v>73.099999999999994</v>
      </c>
      <c r="F8" s="79">
        <v>3692</v>
      </c>
      <c r="G8" s="173">
        <v>0</v>
      </c>
    </row>
    <row r="9" spans="1:8" x14ac:dyDescent="0.25">
      <c r="A9" s="78">
        <v>8</v>
      </c>
      <c r="B9" s="172" t="s">
        <v>641</v>
      </c>
      <c r="C9" s="79">
        <v>22</v>
      </c>
      <c r="D9" s="89">
        <v>182.8</v>
      </c>
      <c r="E9" s="89">
        <v>71.099999999999994</v>
      </c>
      <c r="F9" s="79">
        <v>3315</v>
      </c>
      <c r="G9" s="173">
        <v>0</v>
      </c>
    </row>
    <row r="10" spans="1:8" x14ac:dyDescent="0.25">
      <c r="A10" s="78">
        <v>9</v>
      </c>
      <c r="B10" s="172" t="s">
        <v>642</v>
      </c>
      <c r="C10" s="79">
        <v>20</v>
      </c>
      <c r="D10" s="89">
        <v>195.5</v>
      </c>
      <c r="E10" s="89">
        <v>72.2</v>
      </c>
      <c r="F10" s="79">
        <v>3616</v>
      </c>
      <c r="G10" s="173">
        <v>0</v>
      </c>
    </row>
    <row r="11" spans="1:8" x14ac:dyDescent="0.25">
      <c r="A11" s="78">
        <v>10</v>
      </c>
      <c r="B11" s="172" t="s">
        <v>643</v>
      </c>
      <c r="C11" s="79">
        <v>14</v>
      </c>
      <c r="D11" s="89">
        <v>202.5</v>
      </c>
      <c r="E11" s="89">
        <v>79</v>
      </c>
      <c r="F11" s="79">
        <v>5527</v>
      </c>
      <c r="G11" s="173">
        <v>0</v>
      </c>
    </row>
    <row r="12" spans="1:8" x14ac:dyDescent="0.25">
      <c r="A12" s="78">
        <v>11</v>
      </c>
      <c r="B12" s="172" t="s">
        <v>644</v>
      </c>
      <c r="C12" s="79">
        <v>16</v>
      </c>
      <c r="D12" s="89">
        <v>190.6</v>
      </c>
      <c r="E12" s="89">
        <v>75.5</v>
      </c>
      <c r="F12" s="79">
        <v>3719</v>
      </c>
      <c r="G12" s="173">
        <v>1</v>
      </c>
    </row>
    <row r="13" spans="1:8" x14ac:dyDescent="0.25">
      <c r="A13" s="78">
        <v>12</v>
      </c>
      <c r="B13" s="172" t="s">
        <v>645</v>
      </c>
      <c r="C13" s="79">
        <v>26</v>
      </c>
      <c r="D13" s="89">
        <v>181</v>
      </c>
      <c r="E13" s="89">
        <v>70.7</v>
      </c>
      <c r="F13" s="79">
        <v>3097</v>
      </c>
      <c r="G13" s="173">
        <v>0</v>
      </c>
    </row>
    <row r="14" spans="1:8" x14ac:dyDescent="0.25">
      <c r="A14" s="78">
        <v>13</v>
      </c>
      <c r="B14" s="172" t="s">
        <v>646</v>
      </c>
      <c r="C14" s="79">
        <v>19</v>
      </c>
      <c r="D14" s="89">
        <v>201.3</v>
      </c>
      <c r="E14" s="89">
        <v>73</v>
      </c>
      <c r="F14" s="79">
        <v>3800</v>
      </c>
      <c r="G14" s="173">
        <v>0</v>
      </c>
    </row>
    <row r="15" spans="1:8" x14ac:dyDescent="0.25">
      <c r="A15" s="78">
        <v>14</v>
      </c>
      <c r="B15" s="172" t="s">
        <v>647</v>
      </c>
      <c r="C15" s="79">
        <v>25</v>
      </c>
      <c r="D15" s="89">
        <v>191.5</v>
      </c>
      <c r="E15" s="89">
        <v>73</v>
      </c>
      <c r="F15" s="79">
        <v>3532</v>
      </c>
      <c r="G15" s="173">
        <v>0</v>
      </c>
    </row>
    <row r="16" spans="1:8" x14ac:dyDescent="0.25">
      <c r="A16" s="78">
        <v>15</v>
      </c>
      <c r="B16" s="172" t="s">
        <v>648</v>
      </c>
      <c r="C16" s="79">
        <v>31</v>
      </c>
      <c r="D16" s="89">
        <v>144.69999999999999</v>
      </c>
      <c r="E16" s="89">
        <v>61</v>
      </c>
      <c r="F16" s="79">
        <v>2269</v>
      </c>
      <c r="G16" s="173">
        <v>1</v>
      </c>
    </row>
    <row r="17" spans="1:7" x14ac:dyDescent="0.25">
      <c r="A17" s="78">
        <v>16</v>
      </c>
      <c r="B17" s="172" t="s">
        <v>649</v>
      </c>
      <c r="C17" s="79">
        <v>15</v>
      </c>
      <c r="D17" s="89">
        <v>224</v>
      </c>
      <c r="E17" s="89">
        <v>80.5</v>
      </c>
      <c r="F17" s="79">
        <v>5674</v>
      </c>
      <c r="G17" s="173">
        <v>0</v>
      </c>
    </row>
    <row r="18" spans="1:7" x14ac:dyDescent="0.25">
      <c r="A18" s="78">
        <v>17</v>
      </c>
      <c r="B18" s="172" t="s">
        <v>650</v>
      </c>
      <c r="C18" s="79">
        <v>20</v>
      </c>
      <c r="D18" s="89">
        <v>191.7</v>
      </c>
      <c r="E18" s="89">
        <v>72.5</v>
      </c>
      <c r="F18" s="79">
        <v>3402</v>
      </c>
      <c r="G18" s="173">
        <v>0</v>
      </c>
    </row>
    <row r="19" spans="1:7" x14ac:dyDescent="0.25">
      <c r="A19" s="78">
        <v>18</v>
      </c>
      <c r="B19" s="172" t="s">
        <v>651</v>
      </c>
      <c r="C19" s="79">
        <v>19</v>
      </c>
      <c r="D19" s="89">
        <v>198.6</v>
      </c>
      <c r="E19" s="89">
        <v>75</v>
      </c>
      <c r="F19" s="79">
        <v>4029</v>
      </c>
      <c r="G19" s="173">
        <v>0</v>
      </c>
    </row>
    <row r="20" spans="1:7" x14ac:dyDescent="0.25">
      <c r="A20" s="78">
        <v>19</v>
      </c>
      <c r="B20" s="172" t="s">
        <v>652</v>
      </c>
      <c r="C20" s="79">
        <v>19</v>
      </c>
      <c r="D20" s="89">
        <v>199.9</v>
      </c>
      <c r="E20" s="89">
        <v>75</v>
      </c>
      <c r="F20" s="79">
        <v>3996</v>
      </c>
      <c r="G20" s="173">
        <v>0</v>
      </c>
    </row>
    <row r="21" spans="1:7" x14ac:dyDescent="0.25">
      <c r="A21" s="78">
        <v>20</v>
      </c>
      <c r="B21" s="172" t="s">
        <v>653</v>
      </c>
      <c r="C21" s="79">
        <v>23</v>
      </c>
      <c r="D21" s="89">
        <v>183.9</v>
      </c>
      <c r="E21" s="89">
        <v>72</v>
      </c>
      <c r="F21" s="79">
        <v>3242</v>
      </c>
      <c r="G21" s="173">
        <v>0</v>
      </c>
    </row>
    <row r="22" spans="1:7" x14ac:dyDescent="0.25">
      <c r="A22" s="78">
        <v>21</v>
      </c>
      <c r="B22" s="172" t="s">
        <v>654</v>
      </c>
      <c r="C22" s="79">
        <v>31</v>
      </c>
      <c r="D22" s="89">
        <v>139.6</v>
      </c>
      <c r="E22" s="89">
        <v>64.099999999999994</v>
      </c>
      <c r="F22" s="79">
        <v>2434</v>
      </c>
      <c r="G22" s="173">
        <v>1</v>
      </c>
    </row>
    <row r="23" spans="1:7" x14ac:dyDescent="0.25">
      <c r="A23" s="78">
        <v>22</v>
      </c>
      <c r="B23" s="172" t="s">
        <v>655</v>
      </c>
      <c r="C23" s="79">
        <v>29</v>
      </c>
      <c r="D23" s="89">
        <v>159.69999999999999</v>
      </c>
      <c r="E23" s="89">
        <v>67.8</v>
      </c>
      <c r="F23" s="79">
        <v>2575</v>
      </c>
      <c r="G23" s="173">
        <v>0</v>
      </c>
    </row>
    <row r="24" spans="1:7" x14ac:dyDescent="0.25">
      <c r="A24" s="78">
        <v>23</v>
      </c>
      <c r="B24" s="172" t="s">
        <v>656</v>
      </c>
      <c r="C24" s="79">
        <v>27</v>
      </c>
      <c r="D24" s="89">
        <v>178.5</v>
      </c>
      <c r="E24" s="89">
        <v>71.8</v>
      </c>
      <c r="F24" s="79">
        <v>2960</v>
      </c>
      <c r="G24" s="173">
        <v>1</v>
      </c>
    </row>
    <row r="25" spans="1:7" x14ac:dyDescent="0.25">
      <c r="A25" s="78">
        <v>24</v>
      </c>
      <c r="B25" s="172" t="s">
        <v>657</v>
      </c>
      <c r="C25" s="79">
        <v>15</v>
      </c>
      <c r="D25" s="89">
        <v>188.5</v>
      </c>
      <c r="E25" s="89">
        <v>73.900000000000006</v>
      </c>
      <c r="F25" s="79">
        <v>3618</v>
      </c>
      <c r="G25" s="173">
        <v>1</v>
      </c>
    </row>
    <row r="26" spans="1:7" x14ac:dyDescent="0.25">
      <c r="A26" s="78">
        <v>25</v>
      </c>
      <c r="B26" s="172" t="s">
        <v>658</v>
      </c>
      <c r="C26" s="79">
        <v>19</v>
      </c>
      <c r="D26" s="89">
        <v>202.9</v>
      </c>
      <c r="E26" s="89">
        <v>76.2</v>
      </c>
      <c r="F26" s="79">
        <v>4054</v>
      </c>
      <c r="G26" s="173">
        <v>0</v>
      </c>
    </row>
    <row r="27" spans="1:7" x14ac:dyDescent="0.25">
      <c r="A27" s="78">
        <v>26</v>
      </c>
      <c r="B27" s="172" t="s">
        <v>659</v>
      </c>
      <c r="C27" s="79">
        <v>24</v>
      </c>
      <c r="D27" s="89">
        <v>191.4</v>
      </c>
      <c r="E27" s="89">
        <v>72.8</v>
      </c>
      <c r="F27" s="79">
        <v>3192</v>
      </c>
      <c r="G27" s="173">
        <v>1</v>
      </c>
    </row>
    <row r="28" spans="1:7" x14ac:dyDescent="0.25">
      <c r="A28" s="78">
        <v>27</v>
      </c>
      <c r="B28" s="172" t="s">
        <v>660</v>
      </c>
      <c r="C28" s="79">
        <v>23</v>
      </c>
      <c r="D28" s="89">
        <v>178.3</v>
      </c>
      <c r="E28" s="89">
        <v>71.599999999999994</v>
      </c>
      <c r="F28" s="79">
        <v>3305</v>
      </c>
      <c r="G28" s="173">
        <v>0</v>
      </c>
    </row>
    <row r="29" spans="1:7" x14ac:dyDescent="0.25">
      <c r="A29" s="78">
        <v>28</v>
      </c>
      <c r="B29" s="172" t="s">
        <v>661</v>
      </c>
      <c r="C29" s="79">
        <v>19</v>
      </c>
      <c r="D29" s="89">
        <v>193.3</v>
      </c>
      <c r="E29" s="89">
        <v>73.2</v>
      </c>
      <c r="F29" s="79">
        <v>3605</v>
      </c>
      <c r="G29" s="173">
        <v>0</v>
      </c>
    </row>
    <row r="30" spans="1:7" x14ac:dyDescent="0.25">
      <c r="A30" s="78">
        <v>29</v>
      </c>
      <c r="B30" s="172" t="s">
        <v>662</v>
      </c>
      <c r="C30" s="79">
        <v>15</v>
      </c>
      <c r="D30" s="89">
        <v>196.5</v>
      </c>
      <c r="E30" s="89">
        <v>74.400000000000006</v>
      </c>
      <c r="F30" s="79">
        <v>4240</v>
      </c>
      <c r="G30" s="173">
        <v>0</v>
      </c>
    </row>
    <row r="31" spans="1:7" x14ac:dyDescent="0.25">
      <c r="A31" s="78">
        <v>30</v>
      </c>
      <c r="B31" s="172" t="s">
        <v>663</v>
      </c>
      <c r="C31" s="79">
        <v>18</v>
      </c>
      <c r="D31" s="89">
        <v>193.1</v>
      </c>
      <c r="E31" s="89">
        <v>74.2</v>
      </c>
      <c r="F31" s="79">
        <v>3933</v>
      </c>
      <c r="G31" s="173">
        <v>0</v>
      </c>
    </row>
    <row r="32" spans="1:7" x14ac:dyDescent="0.25">
      <c r="A32" s="78">
        <v>31</v>
      </c>
      <c r="B32" s="172" t="s">
        <v>664</v>
      </c>
      <c r="C32" s="79">
        <v>19</v>
      </c>
      <c r="D32" s="89">
        <v>183.1</v>
      </c>
      <c r="E32" s="89">
        <v>71.8</v>
      </c>
      <c r="F32" s="79">
        <v>3633</v>
      </c>
      <c r="G32" s="173">
        <v>0</v>
      </c>
    </row>
    <row r="33" spans="1:7" x14ac:dyDescent="0.25">
      <c r="A33" s="78">
        <v>32</v>
      </c>
      <c r="B33" s="172" t="s">
        <v>665</v>
      </c>
      <c r="C33" s="79">
        <v>17</v>
      </c>
      <c r="D33" s="89">
        <v>182.3</v>
      </c>
      <c r="E33" s="89">
        <v>71</v>
      </c>
      <c r="F33" s="79">
        <v>3790</v>
      </c>
      <c r="G33" s="173">
        <v>0</v>
      </c>
    </row>
    <row r="34" spans="1:7" x14ac:dyDescent="0.25">
      <c r="A34" s="78">
        <v>33</v>
      </c>
      <c r="B34" s="172" t="s">
        <v>666</v>
      </c>
      <c r="C34" s="79">
        <v>20</v>
      </c>
      <c r="D34" s="89">
        <v>176</v>
      </c>
      <c r="E34" s="89">
        <v>75.7</v>
      </c>
      <c r="F34" s="79">
        <v>3477</v>
      </c>
      <c r="G34" s="173">
        <v>0</v>
      </c>
    </row>
    <row r="35" spans="1:7" x14ac:dyDescent="0.25">
      <c r="A35" s="78">
        <v>34</v>
      </c>
      <c r="B35" s="172" t="s">
        <v>667</v>
      </c>
      <c r="C35" s="79">
        <v>21</v>
      </c>
      <c r="D35" s="89">
        <v>175.1</v>
      </c>
      <c r="E35" s="89">
        <v>71.400000000000006</v>
      </c>
      <c r="F35" s="79">
        <v>3258</v>
      </c>
      <c r="G35" s="173">
        <v>0</v>
      </c>
    </row>
    <row r="36" spans="1:7" x14ac:dyDescent="0.25">
      <c r="A36" s="78">
        <v>35</v>
      </c>
      <c r="B36" s="172" t="s">
        <v>668</v>
      </c>
      <c r="C36" s="79">
        <v>17</v>
      </c>
      <c r="D36" s="89">
        <v>189.8</v>
      </c>
      <c r="E36" s="89">
        <v>76.5</v>
      </c>
      <c r="F36" s="79">
        <v>4685</v>
      </c>
      <c r="G36" s="173">
        <v>0</v>
      </c>
    </row>
    <row r="37" spans="1:7" x14ac:dyDescent="0.25">
      <c r="A37" s="78">
        <v>36</v>
      </c>
      <c r="B37" s="172" t="s">
        <v>669</v>
      </c>
      <c r="C37" s="79">
        <v>25</v>
      </c>
      <c r="D37" s="89">
        <v>179.5</v>
      </c>
      <c r="E37" s="89">
        <v>70.099999999999994</v>
      </c>
      <c r="F37" s="79">
        <v>2776</v>
      </c>
      <c r="G37" s="173">
        <v>0</v>
      </c>
    </row>
    <row r="38" spans="1:7" x14ac:dyDescent="0.25">
      <c r="A38" s="78">
        <v>37</v>
      </c>
      <c r="B38" s="172" t="s">
        <v>670</v>
      </c>
      <c r="C38" s="79">
        <v>24</v>
      </c>
      <c r="D38" s="89">
        <v>163</v>
      </c>
      <c r="E38" s="89">
        <v>70.900000000000006</v>
      </c>
      <c r="F38" s="79">
        <v>2615</v>
      </c>
      <c r="G38" s="173">
        <v>1</v>
      </c>
    </row>
    <row r="39" spans="1:7" x14ac:dyDescent="0.25">
      <c r="A39" s="78">
        <v>38</v>
      </c>
      <c r="B39" s="172" t="s">
        <v>671</v>
      </c>
      <c r="C39" s="79">
        <v>21</v>
      </c>
      <c r="D39" s="89">
        <v>174.8</v>
      </c>
      <c r="E39" s="89">
        <v>73</v>
      </c>
      <c r="F39" s="79">
        <v>3186</v>
      </c>
      <c r="G39" s="173">
        <v>0</v>
      </c>
    </row>
    <row r="40" spans="1:7" x14ac:dyDescent="0.25">
      <c r="A40" s="78">
        <v>39</v>
      </c>
      <c r="B40" s="172" t="s">
        <v>672</v>
      </c>
      <c r="C40" s="79">
        <v>13</v>
      </c>
      <c r="D40" s="89">
        <v>196.8</v>
      </c>
      <c r="E40" s="89">
        <v>81.599999999999994</v>
      </c>
      <c r="F40" s="79">
        <v>5137</v>
      </c>
      <c r="G40" s="173">
        <v>0</v>
      </c>
    </row>
    <row r="41" spans="1:7" x14ac:dyDescent="0.25">
      <c r="A41" s="78">
        <v>40</v>
      </c>
      <c r="B41" s="172" t="s">
        <v>673</v>
      </c>
      <c r="C41" s="79">
        <v>21</v>
      </c>
      <c r="D41" s="89">
        <v>183.7</v>
      </c>
      <c r="E41" s="89">
        <v>71.3</v>
      </c>
      <c r="F41" s="79">
        <v>3461</v>
      </c>
      <c r="G41" s="173">
        <v>0</v>
      </c>
    </row>
    <row r="42" spans="1:7" x14ac:dyDescent="0.25">
      <c r="A42" s="78">
        <v>41</v>
      </c>
      <c r="B42" s="172" t="s">
        <v>674</v>
      </c>
      <c r="C42" s="79">
        <v>16</v>
      </c>
      <c r="D42" s="89">
        <v>200</v>
      </c>
      <c r="E42" s="89">
        <v>73.8</v>
      </c>
      <c r="F42" s="79">
        <v>4233</v>
      </c>
      <c r="G42" s="173">
        <v>0</v>
      </c>
    </row>
    <row r="43" spans="1:7" x14ac:dyDescent="0.25">
      <c r="A43" s="78">
        <v>42</v>
      </c>
      <c r="B43" s="172" t="s">
        <v>675</v>
      </c>
      <c r="C43" s="79">
        <v>18</v>
      </c>
      <c r="D43" s="89">
        <v>187.8</v>
      </c>
      <c r="E43" s="89">
        <v>74.2</v>
      </c>
      <c r="F43" s="79">
        <v>4178</v>
      </c>
      <c r="G43" s="173">
        <v>0</v>
      </c>
    </row>
    <row r="44" spans="1:7" x14ac:dyDescent="0.25">
      <c r="A44" s="78">
        <v>43</v>
      </c>
      <c r="B44" s="172" t="s">
        <v>676</v>
      </c>
      <c r="C44" s="79">
        <v>17</v>
      </c>
      <c r="D44" s="89">
        <v>207.6</v>
      </c>
      <c r="E44" s="89">
        <v>76</v>
      </c>
      <c r="F44" s="79">
        <v>4702</v>
      </c>
      <c r="G44" s="173">
        <v>0</v>
      </c>
    </row>
    <row r="45" spans="1:7" x14ac:dyDescent="0.25">
      <c r="A45" s="78">
        <v>44</v>
      </c>
      <c r="B45" s="172" t="s">
        <v>677</v>
      </c>
      <c r="C45" s="79">
        <v>22</v>
      </c>
      <c r="D45" s="89">
        <v>194.1</v>
      </c>
      <c r="E45" s="89">
        <v>73.400000000000006</v>
      </c>
      <c r="F45" s="79">
        <v>3713</v>
      </c>
      <c r="G45" s="173">
        <v>0</v>
      </c>
    </row>
    <row r="46" spans="1:7" x14ac:dyDescent="0.25">
      <c r="A46" s="78">
        <v>45</v>
      </c>
      <c r="B46" s="172" t="s">
        <v>678</v>
      </c>
      <c r="C46" s="79">
        <v>14</v>
      </c>
      <c r="D46" s="89">
        <v>208.4</v>
      </c>
      <c r="E46" s="89">
        <v>78.8</v>
      </c>
      <c r="F46" s="79">
        <v>5794</v>
      </c>
      <c r="G46" s="173">
        <v>0</v>
      </c>
    </row>
    <row r="47" spans="1:7" x14ac:dyDescent="0.25">
      <c r="A47" s="78">
        <v>46</v>
      </c>
      <c r="B47" s="172" t="s">
        <v>679</v>
      </c>
      <c r="C47" s="79">
        <v>28</v>
      </c>
      <c r="D47" s="89">
        <v>155.5</v>
      </c>
      <c r="E47" s="89">
        <v>66.7</v>
      </c>
      <c r="F47" s="79">
        <v>2306</v>
      </c>
      <c r="G47" s="173">
        <v>1</v>
      </c>
    </row>
    <row r="48" spans="1:7" x14ac:dyDescent="0.25">
      <c r="A48" s="78">
        <v>47</v>
      </c>
      <c r="B48" s="172" t="s">
        <v>680</v>
      </c>
      <c r="C48" s="79">
        <v>26</v>
      </c>
      <c r="D48" s="89">
        <v>179.3</v>
      </c>
      <c r="E48" s="89">
        <v>72.400000000000006</v>
      </c>
      <c r="F48" s="79">
        <v>3194</v>
      </c>
      <c r="G48" s="173">
        <v>0</v>
      </c>
    </row>
    <row r="49" spans="1:7" x14ac:dyDescent="0.25">
      <c r="A49" s="78">
        <v>48</v>
      </c>
      <c r="B49" s="172" t="s">
        <v>681</v>
      </c>
      <c r="C49" s="79">
        <v>22</v>
      </c>
      <c r="D49" s="89">
        <v>180.8</v>
      </c>
      <c r="E49" s="89">
        <v>69.7</v>
      </c>
      <c r="F49" s="79">
        <v>3428</v>
      </c>
      <c r="G49" s="173">
        <v>0</v>
      </c>
    </row>
    <row r="50" spans="1:7" x14ac:dyDescent="0.25">
      <c r="A50" s="78">
        <v>49</v>
      </c>
      <c r="B50" s="172" t="s">
        <v>682</v>
      </c>
      <c r="C50" s="79">
        <v>12</v>
      </c>
      <c r="D50" s="89">
        <v>200.6</v>
      </c>
      <c r="E50" s="89">
        <v>84.2</v>
      </c>
      <c r="F50" s="79">
        <v>4894</v>
      </c>
      <c r="G50" s="173">
        <v>0</v>
      </c>
    </row>
    <row r="51" spans="1:7" x14ac:dyDescent="0.25">
      <c r="A51" s="78">
        <v>50</v>
      </c>
      <c r="B51" s="172" t="s">
        <v>683</v>
      </c>
      <c r="C51" s="79">
        <v>17</v>
      </c>
      <c r="D51" s="89">
        <v>189.1</v>
      </c>
      <c r="E51" s="89">
        <v>84.3</v>
      </c>
      <c r="F51" s="79">
        <v>4751</v>
      </c>
      <c r="G51" s="173">
        <v>0</v>
      </c>
    </row>
    <row r="52" spans="1:7" x14ac:dyDescent="0.25">
      <c r="A52" s="78">
        <v>51</v>
      </c>
      <c r="B52" s="172" t="s">
        <v>684</v>
      </c>
      <c r="C52" s="79">
        <v>29</v>
      </c>
      <c r="D52" s="89">
        <v>146.6</v>
      </c>
      <c r="E52" s="89">
        <v>66.3</v>
      </c>
      <c r="F52" s="79">
        <v>2605</v>
      </c>
      <c r="G52" s="173">
        <v>1</v>
      </c>
    </row>
    <row r="53" spans="1:7" x14ac:dyDescent="0.25">
      <c r="A53" s="78">
        <v>52</v>
      </c>
      <c r="B53" s="172" t="s">
        <v>685</v>
      </c>
      <c r="C53" s="79">
        <v>25</v>
      </c>
      <c r="D53" s="89">
        <v>183.3</v>
      </c>
      <c r="E53" s="89">
        <v>70.900000000000006</v>
      </c>
      <c r="F53" s="79">
        <v>3296</v>
      </c>
      <c r="G53" s="173">
        <v>0</v>
      </c>
    </row>
    <row r="54" spans="1:7" x14ac:dyDescent="0.25">
      <c r="A54" s="78">
        <v>53</v>
      </c>
      <c r="B54" s="172" t="s">
        <v>686</v>
      </c>
      <c r="C54" s="79">
        <v>13</v>
      </c>
      <c r="D54" s="89">
        <v>207.7</v>
      </c>
      <c r="E54" s="89">
        <v>79.3</v>
      </c>
      <c r="F54" s="79">
        <v>5267</v>
      </c>
      <c r="G54" s="173">
        <v>0</v>
      </c>
    </row>
    <row r="55" spans="1:7" x14ac:dyDescent="0.25">
      <c r="A55" s="78">
        <v>54</v>
      </c>
      <c r="B55" s="172" t="s">
        <v>687</v>
      </c>
      <c r="C55" s="79">
        <v>25</v>
      </c>
      <c r="D55" s="89">
        <v>156.69999999999999</v>
      </c>
      <c r="E55" s="89">
        <v>66.7</v>
      </c>
      <c r="F55" s="79">
        <v>2789</v>
      </c>
      <c r="G55" s="173">
        <v>1</v>
      </c>
    </row>
    <row r="56" spans="1:7" x14ac:dyDescent="0.25">
      <c r="A56" s="78">
        <v>55</v>
      </c>
      <c r="B56" s="172" t="s">
        <v>688</v>
      </c>
      <c r="C56" s="79">
        <v>19</v>
      </c>
      <c r="D56" s="89">
        <v>190.6</v>
      </c>
      <c r="E56" s="89">
        <v>73.2</v>
      </c>
      <c r="F56" s="79">
        <v>3570</v>
      </c>
      <c r="G56" s="173">
        <v>0</v>
      </c>
    </row>
    <row r="57" spans="1:7" x14ac:dyDescent="0.25">
      <c r="A57" s="78">
        <v>56</v>
      </c>
      <c r="B57" s="172" t="s">
        <v>689</v>
      </c>
      <c r="C57" s="79">
        <v>18</v>
      </c>
      <c r="D57" s="89">
        <v>189.9</v>
      </c>
      <c r="E57" s="89">
        <v>74.099999999999994</v>
      </c>
      <c r="F57" s="79">
        <v>4011</v>
      </c>
      <c r="G57" s="173">
        <v>0</v>
      </c>
    </row>
    <row r="58" spans="1:7" x14ac:dyDescent="0.25">
      <c r="A58" s="78">
        <v>57</v>
      </c>
      <c r="B58" s="172" t="s">
        <v>690</v>
      </c>
      <c r="C58" s="79">
        <v>27</v>
      </c>
      <c r="D58" s="89">
        <v>175.4</v>
      </c>
      <c r="E58" s="89">
        <v>66.7</v>
      </c>
      <c r="F58" s="79">
        <v>2363</v>
      </c>
      <c r="G58" s="173">
        <v>1</v>
      </c>
    </row>
    <row r="59" spans="1:7" x14ac:dyDescent="0.25">
      <c r="A59" s="78">
        <v>58</v>
      </c>
      <c r="B59" s="172" t="s">
        <v>691</v>
      </c>
      <c r="C59" s="79">
        <v>15</v>
      </c>
      <c r="D59" s="89">
        <v>190.8</v>
      </c>
      <c r="E59" s="89">
        <v>76.3</v>
      </c>
      <c r="F59" s="79">
        <v>4398</v>
      </c>
      <c r="G59" s="173">
        <v>1</v>
      </c>
    </row>
    <row r="60" spans="1:7" x14ac:dyDescent="0.25">
      <c r="A60" s="78">
        <v>59</v>
      </c>
      <c r="B60" s="172" t="s">
        <v>692</v>
      </c>
      <c r="C60" s="79">
        <v>25</v>
      </c>
      <c r="D60" s="89">
        <v>166.7</v>
      </c>
      <c r="E60" s="89">
        <v>69.900000000000006</v>
      </c>
      <c r="F60" s="79">
        <v>2806</v>
      </c>
      <c r="G60" s="173">
        <v>0</v>
      </c>
    </row>
    <row r="61" spans="1:7" x14ac:dyDescent="0.25">
      <c r="A61" s="78">
        <v>60</v>
      </c>
      <c r="B61" s="172" t="s">
        <v>693</v>
      </c>
      <c r="C61" s="79">
        <v>36</v>
      </c>
      <c r="D61" s="89">
        <v>120.1</v>
      </c>
      <c r="E61" s="89">
        <v>66.099999999999994</v>
      </c>
      <c r="F61" s="79">
        <v>2127</v>
      </c>
      <c r="G61" s="173">
        <v>0</v>
      </c>
    </row>
    <row r="62" spans="1:7" x14ac:dyDescent="0.25">
      <c r="A62" s="78">
        <v>61</v>
      </c>
      <c r="B62" s="172" t="s">
        <v>694</v>
      </c>
      <c r="C62" s="79">
        <v>27</v>
      </c>
      <c r="D62" s="89">
        <v>154.69999999999999</v>
      </c>
      <c r="E62" s="89">
        <v>67.900000000000006</v>
      </c>
      <c r="F62" s="79">
        <v>2665</v>
      </c>
      <c r="G62" s="173">
        <v>0</v>
      </c>
    </row>
    <row r="63" spans="1:7" x14ac:dyDescent="0.25">
      <c r="A63" s="78">
        <v>62</v>
      </c>
      <c r="B63" s="172" t="s">
        <v>695</v>
      </c>
      <c r="C63" s="79">
        <v>24</v>
      </c>
      <c r="D63" s="89">
        <v>180.9</v>
      </c>
      <c r="E63" s="89">
        <v>70.7</v>
      </c>
      <c r="F63" s="79">
        <v>3419</v>
      </c>
      <c r="G63" s="173">
        <v>0</v>
      </c>
    </row>
    <row r="64" spans="1:7" x14ac:dyDescent="0.25">
      <c r="A64" s="78">
        <v>63</v>
      </c>
      <c r="B64" s="172" t="s">
        <v>696</v>
      </c>
      <c r="C64" s="79">
        <v>24</v>
      </c>
      <c r="D64" s="89">
        <v>187.2</v>
      </c>
      <c r="E64" s="89">
        <v>71.7</v>
      </c>
      <c r="F64" s="79">
        <v>3427</v>
      </c>
      <c r="G64" s="173">
        <v>0</v>
      </c>
    </row>
    <row r="65" spans="1:7" x14ac:dyDescent="0.25">
      <c r="A65" s="78">
        <v>64</v>
      </c>
      <c r="B65" s="172" t="s">
        <v>697</v>
      </c>
      <c r="C65" s="79">
        <v>25</v>
      </c>
      <c r="D65" s="89">
        <v>189.2</v>
      </c>
      <c r="E65" s="89">
        <v>71.7</v>
      </c>
      <c r="F65" s="79">
        <v>3280</v>
      </c>
      <c r="G65" s="173">
        <v>0</v>
      </c>
    </row>
    <row r="66" spans="1:7" x14ac:dyDescent="0.25">
      <c r="A66" s="78">
        <v>65</v>
      </c>
      <c r="B66" s="172" t="s">
        <v>698</v>
      </c>
      <c r="C66" s="79">
        <v>13</v>
      </c>
      <c r="D66" s="89">
        <v>194.9</v>
      </c>
      <c r="E66" s="89">
        <v>77.599999999999994</v>
      </c>
      <c r="F66" s="79">
        <v>5765</v>
      </c>
      <c r="G66" s="173">
        <v>0</v>
      </c>
    </row>
    <row r="67" spans="1:7" x14ac:dyDescent="0.25">
      <c r="A67" s="78">
        <v>66</v>
      </c>
      <c r="B67" s="172" t="s">
        <v>699</v>
      </c>
      <c r="C67" s="79">
        <v>24</v>
      </c>
      <c r="D67" s="89">
        <v>179.9</v>
      </c>
      <c r="E67" s="89">
        <v>72.599999999999994</v>
      </c>
      <c r="F67" s="79">
        <v>3465</v>
      </c>
      <c r="G67" s="173">
        <v>0</v>
      </c>
    </row>
    <row r="68" spans="1:7" x14ac:dyDescent="0.25">
      <c r="A68" s="78">
        <v>67</v>
      </c>
      <c r="B68" s="172" t="s">
        <v>700</v>
      </c>
      <c r="C68" s="79">
        <v>30</v>
      </c>
      <c r="D68" s="89">
        <v>153.5</v>
      </c>
      <c r="E68" s="89">
        <v>66.7</v>
      </c>
      <c r="F68" s="79">
        <v>2295</v>
      </c>
      <c r="G68" s="173">
        <v>1</v>
      </c>
    </row>
    <row r="69" spans="1:7" x14ac:dyDescent="0.25">
      <c r="A69" s="78">
        <v>68</v>
      </c>
      <c r="B69" s="172" t="s">
        <v>701</v>
      </c>
      <c r="C69" s="79">
        <v>22</v>
      </c>
      <c r="D69" s="89">
        <v>168.4</v>
      </c>
      <c r="E69" s="89">
        <v>71.2</v>
      </c>
      <c r="F69" s="79">
        <v>3038</v>
      </c>
      <c r="G69" s="173">
        <v>0</v>
      </c>
    </row>
    <row r="70" spans="1:7" x14ac:dyDescent="0.25">
      <c r="A70" s="78">
        <v>69</v>
      </c>
      <c r="B70" s="172" t="s">
        <v>702</v>
      </c>
      <c r="C70" s="79">
        <v>25</v>
      </c>
      <c r="D70" s="89">
        <v>182.2</v>
      </c>
      <c r="E70" s="89">
        <v>70</v>
      </c>
      <c r="F70" s="79">
        <v>3070</v>
      </c>
      <c r="G70" s="173">
        <v>0</v>
      </c>
    </row>
    <row r="71" spans="1:7" x14ac:dyDescent="0.25">
      <c r="A71" s="78">
        <v>70</v>
      </c>
      <c r="B71" s="172" t="s">
        <v>703</v>
      </c>
      <c r="C71" s="79">
        <v>17</v>
      </c>
      <c r="D71" s="89">
        <v>188.8</v>
      </c>
      <c r="E71" s="89">
        <v>76.400000000000006</v>
      </c>
      <c r="F71" s="79">
        <v>4711</v>
      </c>
      <c r="G71" s="173">
        <v>0</v>
      </c>
    </row>
    <row r="72" spans="1:7" x14ac:dyDescent="0.25">
      <c r="A72" s="78">
        <v>71</v>
      </c>
      <c r="B72" s="172" t="s">
        <v>704</v>
      </c>
      <c r="C72" s="79">
        <v>24</v>
      </c>
      <c r="D72" s="89">
        <v>191.6</v>
      </c>
      <c r="E72" s="89">
        <v>72.2</v>
      </c>
      <c r="F72" s="79">
        <v>3230</v>
      </c>
      <c r="G72" s="173">
        <v>0</v>
      </c>
    </row>
    <row r="73" spans="1:7" x14ac:dyDescent="0.25">
      <c r="A73" s="78">
        <v>72</v>
      </c>
      <c r="B73" s="172" t="s">
        <v>705</v>
      </c>
      <c r="C73" s="79">
        <v>21</v>
      </c>
      <c r="D73" s="89">
        <v>182.2</v>
      </c>
      <c r="E73" s="89">
        <v>73.400000000000006</v>
      </c>
      <c r="F73" s="79">
        <v>3528</v>
      </c>
      <c r="G73" s="173">
        <v>0</v>
      </c>
    </row>
    <row r="74" spans="1:7" x14ac:dyDescent="0.25">
      <c r="A74" s="82">
        <v>73</v>
      </c>
      <c r="B74" s="174" t="s">
        <v>706</v>
      </c>
      <c r="C74" s="83">
        <v>16</v>
      </c>
      <c r="D74" s="92">
        <v>189.3</v>
      </c>
      <c r="E74" s="92">
        <v>76.2</v>
      </c>
      <c r="F74" s="83">
        <v>4667</v>
      </c>
      <c r="G74" s="17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EAA8-253B-4367-B44C-C0976BDBBECE}">
  <dimension ref="A1:G55"/>
  <sheetViews>
    <sheetView workbookViewId="0">
      <selection activeCell="J13" sqref="J13"/>
    </sheetView>
  </sheetViews>
  <sheetFormatPr defaultRowHeight="15" x14ac:dyDescent="0.25"/>
  <sheetData>
    <row r="1" spans="1:7" x14ac:dyDescent="0.25">
      <c r="A1" s="176" t="s">
        <v>413</v>
      </c>
      <c r="B1" s="177" t="s">
        <v>710</v>
      </c>
      <c r="C1" s="177" t="s">
        <v>711</v>
      </c>
      <c r="D1" s="177" t="s">
        <v>712</v>
      </c>
      <c r="E1" s="177" t="s">
        <v>713</v>
      </c>
      <c r="F1" s="178" t="s">
        <v>326</v>
      </c>
      <c r="G1" s="42" t="s">
        <v>189</v>
      </c>
    </row>
    <row r="2" spans="1:7" x14ac:dyDescent="0.25">
      <c r="A2" s="8">
        <v>1966</v>
      </c>
      <c r="B2" s="30">
        <v>2.9</v>
      </c>
      <c r="C2" s="30">
        <v>91.1</v>
      </c>
      <c r="D2" s="30">
        <v>2.5</v>
      </c>
      <c r="E2" s="30">
        <v>4.5999999999999996</v>
      </c>
      <c r="F2" s="44">
        <v>3.8</v>
      </c>
      <c r="G2" s="23" t="s">
        <v>714</v>
      </c>
    </row>
    <row r="3" spans="1:7" x14ac:dyDescent="0.25">
      <c r="A3" s="8">
        <v>1967</v>
      </c>
      <c r="B3" s="30">
        <v>3.1</v>
      </c>
      <c r="C3" s="30">
        <v>87.2</v>
      </c>
      <c r="D3" s="30">
        <v>6.6</v>
      </c>
      <c r="E3" s="30">
        <v>9.3000000000000007</v>
      </c>
      <c r="F3" s="44">
        <v>3.8</v>
      </c>
      <c r="G3" s="23" t="s">
        <v>715</v>
      </c>
    </row>
    <row r="4" spans="1:7" x14ac:dyDescent="0.25">
      <c r="A4" s="8">
        <v>1968</v>
      </c>
      <c r="B4" s="30">
        <v>4.2</v>
      </c>
      <c r="C4" s="30">
        <v>87.1</v>
      </c>
      <c r="D4" s="30">
        <v>7.7</v>
      </c>
      <c r="E4" s="30">
        <v>8</v>
      </c>
      <c r="F4" s="44">
        <v>3.6</v>
      </c>
      <c r="G4" s="23" t="s">
        <v>716</v>
      </c>
    </row>
    <row r="5" spans="1:7" x14ac:dyDescent="0.25">
      <c r="A5" s="8">
        <v>1969</v>
      </c>
      <c r="B5" s="30">
        <v>5.5</v>
      </c>
      <c r="C5" s="30">
        <v>86.6</v>
      </c>
      <c r="D5" s="30">
        <v>3.3</v>
      </c>
      <c r="E5" s="30">
        <v>3.7</v>
      </c>
      <c r="F5" s="44">
        <v>3.5</v>
      </c>
      <c r="G5" s="23" t="s">
        <v>717</v>
      </c>
    </row>
    <row r="6" spans="1:7" x14ac:dyDescent="0.25">
      <c r="A6" s="8">
        <v>1970</v>
      </c>
      <c r="B6" s="30">
        <v>5.7</v>
      </c>
      <c r="C6" s="30">
        <v>79.400000000000006</v>
      </c>
      <c r="D6" s="30">
        <v>5.0999999999999996</v>
      </c>
      <c r="E6" s="30">
        <v>6.6</v>
      </c>
      <c r="F6" s="44">
        <v>4.9000000000000004</v>
      </c>
      <c r="G6" s="23" t="s">
        <v>718</v>
      </c>
    </row>
    <row r="7" spans="1:7" x14ac:dyDescent="0.25">
      <c r="A7" s="8">
        <v>1971</v>
      </c>
      <c r="B7" s="30">
        <v>4.4000000000000004</v>
      </c>
      <c r="C7" s="30">
        <v>77.900000000000006</v>
      </c>
      <c r="D7" s="30">
        <v>6.5</v>
      </c>
      <c r="E7" s="30">
        <v>13.4</v>
      </c>
      <c r="F7" s="44">
        <v>5.9</v>
      </c>
    </row>
    <row r="8" spans="1:7" x14ac:dyDescent="0.25">
      <c r="A8" s="8">
        <v>1972</v>
      </c>
      <c r="B8" s="30">
        <v>3.2</v>
      </c>
      <c r="C8" s="30">
        <v>83.3</v>
      </c>
      <c r="D8" s="30">
        <v>9.1999999999999993</v>
      </c>
      <c r="E8" s="30">
        <v>13</v>
      </c>
      <c r="F8" s="44">
        <v>5.6</v>
      </c>
    </row>
    <row r="9" spans="1:7" x14ac:dyDescent="0.25">
      <c r="A9" s="8">
        <v>1973</v>
      </c>
      <c r="B9" s="30">
        <v>6.2</v>
      </c>
      <c r="C9" s="30">
        <v>87.6</v>
      </c>
      <c r="D9" s="30">
        <v>5.5</v>
      </c>
      <c r="E9" s="30">
        <v>6.6</v>
      </c>
      <c r="F9" s="44">
        <v>4.9000000000000004</v>
      </c>
    </row>
    <row r="10" spans="1:7" x14ac:dyDescent="0.25">
      <c r="A10" s="8">
        <v>1974</v>
      </c>
      <c r="B10" s="30">
        <v>11</v>
      </c>
      <c r="C10" s="30">
        <v>84.4</v>
      </c>
      <c r="D10" s="30">
        <v>4.3</v>
      </c>
      <c r="E10" s="30">
        <v>5.4</v>
      </c>
      <c r="F10" s="44">
        <v>5.6</v>
      </c>
    </row>
    <row r="11" spans="1:7" x14ac:dyDescent="0.25">
      <c r="A11" s="8">
        <v>1975</v>
      </c>
      <c r="B11" s="30">
        <v>9.1</v>
      </c>
      <c r="C11" s="30">
        <v>73.5</v>
      </c>
      <c r="D11" s="30">
        <v>4.7</v>
      </c>
      <c r="E11" s="30">
        <v>12.6</v>
      </c>
      <c r="F11" s="44">
        <v>8.5</v>
      </c>
    </row>
    <row r="12" spans="1:7" x14ac:dyDescent="0.25">
      <c r="A12" s="8">
        <v>1976</v>
      </c>
      <c r="B12" s="30">
        <v>5.8</v>
      </c>
      <c r="C12" s="30">
        <v>78.2</v>
      </c>
      <c r="D12" s="30">
        <v>6.7</v>
      </c>
      <c r="E12" s="30">
        <v>13.4</v>
      </c>
      <c r="F12" s="44">
        <v>7.7</v>
      </c>
    </row>
    <row r="13" spans="1:7" x14ac:dyDescent="0.25">
      <c r="A13" s="8">
        <v>1977</v>
      </c>
      <c r="B13" s="30">
        <v>6.5</v>
      </c>
      <c r="C13" s="30">
        <v>82.4</v>
      </c>
      <c r="D13" s="30">
        <v>8.1</v>
      </c>
      <c r="E13" s="30">
        <v>10.3</v>
      </c>
      <c r="F13" s="44">
        <v>7.1</v>
      </c>
    </row>
    <row r="14" spans="1:7" x14ac:dyDescent="0.25">
      <c r="A14" s="8">
        <v>1978</v>
      </c>
      <c r="B14" s="30">
        <v>7.6</v>
      </c>
      <c r="C14" s="30">
        <v>84.3</v>
      </c>
      <c r="D14" s="30">
        <v>8</v>
      </c>
      <c r="E14" s="30">
        <v>7.5</v>
      </c>
      <c r="F14" s="44">
        <v>6.1</v>
      </c>
    </row>
    <row r="15" spans="1:7" x14ac:dyDescent="0.25">
      <c r="A15" s="8">
        <v>1979</v>
      </c>
      <c r="B15" s="30">
        <v>11.3</v>
      </c>
      <c r="C15" s="30">
        <v>84.2</v>
      </c>
      <c r="D15" s="30">
        <v>6.9</v>
      </c>
      <c r="E15" s="30">
        <v>7.9</v>
      </c>
      <c r="F15" s="44">
        <v>5.8</v>
      </c>
    </row>
    <row r="16" spans="1:7" x14ac:dyDescent="0.25">
      <c r="A16" s="8">
        <v>1980</v>
      </c>
      <c r="B16" s="30">
        <v>13.5</v>
      </c>
      <c r="C16" s="30">
        <v>78.7</v>
      </c>
      <c r="D16" s="30">
        <v>7</v>
      </c>
      <c r="E16" s="30">
        <v>8.6</v>
      </c>
      <c r="F16" s="44">
        <v>7.1</v>
      </c>
    </row>
    <row r="17" spans="1:6" x14ac:dyDescent="0.25">
      <c r="A17" s="8">
        <v>1981</v>
      </c>
      <c r="B17" s="30">
        <v>10.3</v>
      </c>
      <c r="C17" s="30">
        <v>77</v>
      </c>
      <c r="D17" s="30">
        <v>6.9</v>
      </c>
      <c r="E17" s="30">
        <v>9.6999999999999993</v>
      </c>
      <c r="F17" s="44">
        <v>7.6</v>
      </c>
    </row>
    <row r="18" spans="1:6" x14ac:dyDescent="0.25">
      <c r="A18" s="8">
        <v>1982</v>
      </c>
      <c r="B18" s="30">
        <v>6.2</v>
      </c>
      <c r="C18" s="30">
        <v>71</v>
      </c>
      <c r="D18" s="30">
        <v>8.6999999999999993</v>
      </c>
      <c r="E18" s="30">
        <v>8.8000000000000007</v>
      </c>
      <c r="F18" s="44">
        <v>9.6999999999999993</v>
      </c>
    </row>
    <row r="19" spans="1:6" x14ac:dyDescent="0.25">
      <c r="A19" s="8">
        <v>1983</v>
      </c>
      <c r="B19" s="30">
        <v>3.2</v>
      </c>
      <c r="C19" s="30">
        <v>73.5</v>
      </c>
      <c r="D19" s="30">
        <v>9.8000000000000007</v>
      </c>
      <c r="E19" s="30">
        <v>11.3</v>
      </c>
      <c r="F19" s="44">
        <v>9.6</v>
      </c>
    </row>
    <row r="20" spans="1:6" x14ac:dyDescent="0.25">
      <c r="A20" s="8">
        <v>1984</v>
      </c>
      <c r="B20" s="30">
        <v>4.3</v>
      </c>
      <c r="C20" s="30">
        <v>79.400000000000006</v>
      </c>
      <c r="D20" s="30">
        <v>5.8</v>
      </c>
      <c r="E20" s="30">
        <v>8.6</v>
      </c>
      <c r="F20" s="44">
        <v>7.5</v>
      </c>
    </row>
    <row r="21" spans="1:6" x14ac:dyDescent="0.25">
      <c r="A21" s="8">
        <v>1985</v>
      </c>
      <c r="B21" s="30">
        <v>3.6</v>
      </c>
      <c r="C21" s="30">
        <v>78.3</v>
      </c>
      <c r="D21" s="30">
        <v>12.4</v>
      </c>
      <c r="E21" s="30">
        <v>8</v>
      </c>
      <c r="F21" s="44">
        <v>7.2</v>
      </c>
    </row>
    <row r="22" spans="1:6" x14ac:dyDescent="0.25">
      <c r="A22" s="8">
        <v>1986</v>
      </c>
      <c r="B22" s="30">
        <v>1.9</v>
      </c>
      <c r="C22" s="30">
        <v>78.400000000000006</v>
      </c>
      <c r="D22" s="30">
        <v>16.899999999999999</v>
      </c>
      <c r="E22" s="30">
        <v>9.5</v>
      </c>
      <c r="F22" s="44">
        <v>7</v>
      </c>
    </row>
    <row r="23" spans="1:6" x14ac:dyDescent="0.25">
      <c r="A23" s="8">
        <v>1987</v>
      </c>
      <c r="B23" s="30">
        <v>3.6</v>
      </c>
      <c r="C23" s="30">
        <v>80.900000000000006</v>
      </c>
      <c r="D23" s="30">
        <v>3.5</v>
      </c>
      <c r="E23" s="30">
        <v>3.6</v>
      </c>
      <c r="F23" s="44">
        <v>6.2</v>
      </c>
    </row>
    <row r="24" spans="1:6" x14ac:dyDescent="0.25">
      <c r="A24" s="8">
        <v>1988</v>
      </c>
      <c r="B24" s="30">
        <v>4.0999999999999996</v>
      </c>
      <c r="C24" s="30">
        <v>83.9</v>
      </c>
      <c r="D24" s="30">
        <v>4.9000000000000004</v>
      </c>
      <c r="E24" s="30">
        <v>5.8</v>
      </c>
      <c r="F24" s="44">
        <v>5.5</v>
      </c>
    </row>
    <row r="25" spans="1:6" x14ac:dyDescent="0.25">
      <c r="A25" s="8">
        <v>1989</v>
      </c>
      <c r="B25" s="30">
        <v>4.8</v>
      </c>
      <c r="C25" s="30">
        <v>83.1</v>
      </c>
      <c r="D25" s="30">
        <v>0.8</v>
      </c>
      <c r="E25" s="30">
        <v>5.5</v>
      </c>
      <c r="F25" s="44">
        <v>5.3</v>
      </c>
    </row>
    <row r="26" spans="1:6" x14ac:dyDescent="0.25">
      <c r="A26" s="8">
        <v>1990</v>
      </c>
      <c r="B26" s="30">
        <v>5.4</v>
      </c>
      <c r="C26" s="30">
        <v>81.599999999999994</v>
      </c>
      <c r="D26" s="30">
        <v>4</v>
      </c>
      <c r="E26" s="30">
        <v>3.8</v>
      </c>
      <c r="F26" s="44">
        <v>5.6</v>
      </c>
    </row>
    <row r="27" spans="1:6" x14ac:dyDescent="0.25">
      <c r="A27" s="8">
        <v>1991</v>
      </c>
      <c r="B27" s="30">
        <v>4.2</v>
      </c>
      <c r="C27" s="30">
        <v>78.3</v>
      </c>
      <c r="D27" s="30">
        <v>8.8000000000000007</v>
      </c>
      <c r="E27" s="30">
        <v>3.1</v>
      </c>
      <c r="F27" s="44">
        <v>6.8</v>
      </c>
    </row>
    <row r="28" spans="1:6" x14ac:dyDescent="0.25">
      <c r="A28" s="8">
        <v>1992</v>
      </c>
      <c r="B28" s="30">
        <v>3</v>
      </c>
      <c r="C28" s="30">
        <v>79.400000000000006</v>
      </c>
      <c r="D28" s="30">
        <v>14.3</v>
      </c>
      <c r="E28" s="30">
        <v>1.6</v>
      </c>
      <c r="F28" s="44">
        <v>7.5</v>
      </c>
    </row>
    <row r="29" spans="1:6" x14ac:dyDescent="0.25">
      <c r="A29" s="8">
        <v>1993</v>
      </c>
      <c r="B29" s="30">
        <v>3</v>
      </c>
      <c r="C29" s="30">
        <v>80.3</v>
      </c>
      <c r="D29" s="30">
        <v>10.199999999999999</v>
      </c>
      <c r="E29" s="30">
        <v>1.5</v>
      </c>
      <c r="F29" s="44">
        <v>6.9</v>
      </c>
    </row>
    <row r="30" spans="1:6" x14ac:dyDescent="0.25">
      <c r="A30" s="8">
        <v>1994</v>
      </c>
      <c r="B30" s="30">
        <v>2.6</v>
      </c>
      <c r="C30" s="30">
        <v>82.8</v>
      </c>
      <c r="D30" s="30">
        <v>1.8</v>
      </c>
      <c r="E30" s="30">
        <v>0.4</v>
      </c>
      <c r="F30" s="44">
        <v>6.1</v>
      </c>
    </row>
    <row r="31" spans="1:6" x14ac:dyDescent="0.25">
      <c r="A31" s="8">
        <v>1995</v>
      </c>
      <c r="B31" s="30">
        <v>2.8</v>
      </c>
      <c r="C31" s="30">
        <v>83.1</v>
      </c>
      <c r="D31" s="30">
        <v>-2</v>
      </c>
      <c r="E31" s="30">
        <v>4.0999999999999996</v>
      </c>
      <c r="F31" s="44">
        <v>5.6</v>
      </c>
    </row>
    <row r="32" spans="1:6" x14ac:dyDescent="0.25">
      <c r="A32" s="8">
        <v>1996</v>
      </c>
      <c r="B32" s="30">
        <v>3</v>
      </c>
      <c r="C32" s="30">
        <v>81.900000000000006</v>
      </c>
      <c r="D32" s="30">
        <v>-4.0999999999999996</v>
      </c>
      <c r="E32" s="30">
        <v>4.8</v>
      </c>
      <c r="F32" s="44">
        <v>5.4</v>
      </c>
    </row>
    <row r="33" spans="1:6" x14ac:dyDescent="0.25">
      <c r="A33" s="8">
        <v>1997</v>
      </c>
      <c r="B33" s="30">
        <v>2.2999999999999998</v>
      </c>
      <c r="C33" s="30">
        <v>83</v>
      </c>
      <c r="D33" s="30">
        <v>-0.7</v>
      </c>
      <c r="E33" s="30">
        <v>5.7</v>
      </c>
      <c r="F33" s="44">
        <v>4.9000000000000004</v>
      </c>
    </row>
    <row r="34" spans="1:6" x14ac:dyDescent="0.25">
      <c r="A34" s="8">
        <v>1998</v>
      </c>
      <c r="B34" s="30">
        <v>1.6</v>
      </c>
      <c r="C34" s="30">
        <v>81.7</v>
      </c>
      <c r="D34" s="30">
        <v>2.1</v>
      </c>
      <c r="E34" s="30">
        <v>8.6</v>
      </c>
      <c r="F34" s="44">
        <v>4.5</v>
      </c>
    </row>
    <row r="35" spans="1:6" x14ac:dyDescent="0.25">
      <c r="A35" s="8">
        <v>1999</v>
      </c>
      <c r="B35" s="30">
        <v>2.2000000000000002</v>
      </c>
      <c r="C35" s="30">
        <v>80.8</v>
      </c>
      <c r="D35" s="30">
        <v>2.6</v>
      </c>
      <c r="E35" s="30">
        <v>6</v>
      </c>
      <c r="F35" s="44">
        <v>4.2</v>
      </c>
    </row>
    <row r="36" spans="1:6" x14ac:dyDescent="0.25">
      <c r="A36" s="8">
        <v>2000</v>
      </c>
      <c r="B36" s="30">
        <v>3.4</v>
      </c>
      <c r="C36" s="30">
        <v>80.099999999999994</v>
      </c>
      <c r="D36" s="30">
        <v>-3.1</v>
      </c>
      <c r="E36" s="30">
        <v>6</v>
      </c>
      <c r="F36" s="44">
        <v>4</v>
      </c>
    </row>
    <row r="37" spans="1:6" x14ac:dyDescent="0.25">
      <c r="A37" s="8">
        <v>2001</v>
      </c>
      <c r="B37" s="30">
        <v>2.8</v>
      </c>
      <c r="C37" s="30">
        <v>73.900000000000006</v>
      </c>
      <c r="D37" s="30">
        <v>8.6999999999999993</v>
      </c>
      <c r="E37" s="30">
        <v>10.4</v>
      </c>
      <c r="F37" s="44">
        <v>4.7</v>
      </c>
    </row>
    <row r="38" spans="1:6" x14ac:dyDescent="0.25">
      <c r="A38" s="8">
        <v>2002</v>
      </c>
      <c r="B38" s="30">
        <v>1.6</v>
      </c>
      <c r="C38" s="30">
        <v>73</v>
      </c>
      <c r="D38" s="30">
        <v>3.2</v>
      </c>
      <c r="E38" s="30">
        <v>6.3</v>
      </c>
      <c r="F38" s="44">
        <v>5.8</v>
      </c>
    </row>
    <row r="39" spans="1:6" x14ac:dyDescent="0.25">
      <c r="A39" s="8">
        <v>2003</v>
      </c>
      <c r="B39" s="30">
        <v>2.2999999999999998</v>
      </c>
      <c r="C39" s="30">
        <v>74.2</v>
      </c>
      <c r="D39" s="30">
        <v>7.1</v>
      </c>
      <c r="E39" s="30">
        <v>5</v>
      </c>
      <c r="F39" s="44">
        <v>6</v>
      </c>
    </row>
    <row r="40" spans="1:6" x14ac:dyDescent="0.25">
      <c r="A40" s="8">
        <v>2004</v>
      </c>
      <c r="B40" s="30">
        <v>2.7</v>
      </c>
      <c r="C40" s="30">
        <v>76.599999999999994</v>
      </c>
      <c r="D40" s="30">
        <v>5.3</v>
      </c>
      <c r="E40" s="30">
        <v>5.8</v>
      </c>
      <c r="F40" s="44">
        <v>5.5</v>
      </c>
    </row>
    <row r="41" spans="1:6" x14ac:dyDescent="0.25">
      <c r="A41" s="8">
        <v>2005</v>
      </c>
      <c r="B41" s="30">
        <v>3.4</v>
      </c>
      <c r="C41" s="30">
        <v>78.8</v>
      </c>
      <c r="D41" s="30">
        <v>-0.2</v>
      </c>
      <c r="E41" s="30">
        <v>4</v>
      </c>
      <c r="F41" s="44">
        <v>5.0999999999999996</v>
      </c>
    </row>
    <row r="42" spans="1:6" x14ac:dyDescent="0.25">
      <c r="A42" s="8">
        <v>2006</v>
      </c>
      <c r="B42" s="30">
        <v>3.2</v>
      </c>
      <c r="C42" s="30">
        <v>80.400000000000006</v>
      </c>
      <c r="D42" s="30">
        <v>-0.5</v>
      </c>
      <c r="E42" s="30">
        <v>5.3</v>
      </c>
      <c r="F42" s="44">
        <v>4.5999999999999996</v>
      </c>
    </row>
    <row r="43" spans="1:6" x14ac:dyDescent="0.25">
      <c r="A43" s="8">
        <v>2007</v>
      </c>
      <c r="B43" s="30">
        <v>2.8</v>
      </c>
      <c r="C43" s="30">
        <v>80.7</v>
      </c>
      <c r="D43" s="30">
        <v>5</v>
      </c>
      <c r="E43" s="30">
        <v>5.7</v>
      </c>
      <c r="F43" s="44">
        <v>4.5999999999999996</v>
      </c>
    </row>
    <row r="44" spans="1:6" x14ac:dyDescent="0.25">
      <c r="A44" s="8">
        <v>2008</v>
      </c>
      <c r="B44" s="30">
        <v>3.8</v>
      </c>
      <c r="C44" s="30">
        <v>77.8</v>
      </c>
      <c r="D44" s="30">
        <v>16.600000000000001</v>
      </c>
      <c r="E44" s="30">
        <v>9.6999999999999993</v>
      </c>
      <c r="F44" s="44">
        <v>5.8</v>
      </c>
    </row>
    <row r="45" spans="1:6" x14ac:dyDescent="0.25">
      <c r="A45" s="8">
        <v>2009</v>
      </c>
      <c r="B45" s="30">
        <v>-0.4</v>
      </c>
      <c r="C45" s="30">
        <v>58.5</v>
      </c>
      <c r="D45" s="30">
        <v>5.7</v>
      </c>
      <c r="E45" s="30">
        <v>3.7</v>
      </c>
      <c r="F45" s="44">
        <v>9.3000000000000007</v>
      </c>
    </row>
    <row r="46" spans="1:6" x14ac:dyDescent="0.25">
      <c r="A46" s="8">
        <v>2010</v>
      </c>
      <c r="B46" s="30">
        <v>1.6</v>
      </c>
      <c r="C46" s="30">
        <v>73.599999999999994</v>
      </c>
      <c r="D46" s="30">
        <v>8.5</v>
      </c>
      <c r="E46" s="30">
        <v>3.6</v>
      </c>
      <c r="F46" s="44">
        <v>9.6</v>
      </c>
    </row>
    <row r="47" spans="1:6" x14ac:dyDescent="0.25">
      <c r="A47" s="8">
        <v>2011</v>
      </c>
      <c r="B47" s="30">
        <v>3.2</v>
      </c>
      <c r="C47" s="30">
        <v>76.2</v>
      </c>
      <c r="D47" s="30">
        <v>17.899999999999999</v>
      </c>
      <c r="E47" s="30">
        <v>9.8000000000000007</v>
      </c>
      <c r="F47" s="44">
        <v>8.9</v>
      </c>
    </row>
    <row r="48" spans="1:6" x14ac:dyDescent="0.25">
      <c r="A48" s="8">
        <v>2012</v>
      </c>
      <c r="B48" s="30">
        <v>2.1</v>
      </c>
      <c r="C48" s="30">
        <v>77.2</v>
      </c>
      <c r="D48" s="30">
        <v>13.7</v>
      </c>
      <c r="E48" s="30">
        <v>8.1999999999999993</v>
      </c>
      <c r="F48" s="44">
        <v>8.1</v>
      </c>
    </row>
    <row r="49" spans="1:6" x14ac:dyDescent="0.25">
      <c r="A49" s="8">
        <v>2013</v>
      </c>
      <c r="B49" s="30">
        <v>1.5</v>
      </c>
      <c r="C49" s="30">
        <v>77.599999999999994</v>
      </c>
      <c r="D49" s="30">
        <v>8.3000000000000007</v>
      </c>
      <c r="E49" s="30">
        <v>5.5</v>
      </c>
      <c r="F49" s="44">
        <v>7.4</v>
      </c>
    </row>
    <row r="50" spans="1:6" x14ac:dyDescent="0.25">
      <c r="A50" s="8">
        <v>2014</v>
      </c>
      <c r="B50" s="30">
        <v>1.6</v>
      </c>
      <c r="C50" s="30">
        <v>79</v>
      </c>
      <c r="D50" s="30">
        <v>10.4</v>
      </c>
      <c r="E50" s="30">
        <v>5.9</v>
      </c>
      <c r="F50" s="44">
        <v>6.2</v>
      </c>
    </row>
    <row r="51" spans="1:6" x14ac:dyDescent="0.25">
      <c r="A51" s="8">
        <v>2015</v>
      </c>
      <c r="B51" s="30">
        <v>0.1</v>
      </c>
      <c r="C51" s="30">
        <v>77.3</v>
      </c>
      <c r="D51" s="30">
        <v>5.2</v>
      </c>
      <c r="E51" s="30">
        <v>5.7</v>
      </c>
      <c r="F51" s="44">
        <v>5.3</v>
      </c>
    </row>
    <row r="52" spans="1:6" x14ac:dyDescent="0.25">
      <c r="A52" s="8">
        <v>2016</v>
      </c>
      <c r="B52" s="30">
        <v>1.3</v>
      </c>
      <c r="C52" s="30">
        <v>75.3</v>
      </c>
      <c r="D52" s="30">
        <v>8</v>
      </c>
      <c r="E52" s="30">
        <v>7.1</v>
      </c>
      <c r="F52" s="44">
        <v>4.9000000000000004</v>
      </c>
    </row>
    <row r="53" spans="1:6" x14ac:dyDescent="0.25">
      <c r="A53" s="8">
        <v>2017</v>
      </c>
      <c r="B53" s="30">
        <v>2.1</v>
      </c>
      <c r="C53" s="30">
        <v>76.099999999999994</v>
      </c>
      <c r="D53" s="30">
        <v>8.1</v>
      </c>
      <c r="E53" s="30">
        <v>4.9000000000000004</v>
      </c>
      <c r="F53" s="44">
        <v>4.4000000000000004</v>
      </c>
    </row>
    <row r="54" spans="1:6" x14ac:dyDescent="0.25">
      <c r="A54" s="8">
        <v>2018</v>
      </c>
      <c r="B54" s="30">
        <v>2.4</v>
      </c>
      <c r="C54" s="30">
        <v>78</v>
      </c>
      <c r="D54" s="30">
        <v>3.7</v>
      </c>
      <c r="E54" s="30">
        <v>3.9</v>
      </c>
      <c r="F54" s="44">
        <v>3.9</v>
      </c>
    </row>
    <row r="55" spans="1:6" x14ac:dyDescent="0.25">
      <c r="A55" s="12">
        <v>2019</v>
      </c>
      <c r="B55" s="33">
        <v>1.8</v>
      </c>
      <c r="C55" s="33">
        <v>77.400000000000006</v>
      </c>
      <c r="D55" s="33">
        <v>6.2</v>
      </c>
      <c r="E55" s="33">
        <v>6.7</v>
      </c>
      <c r="F55" s="45">
        <v>3.5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75CF-CD51-4DD5-8B43-7461ACEA0938}">
  <dimension ref="A1:G51"/>
  <sheetViews>
    <sheetView workbookViewId="0">
      <selection activeCell="G2" sqref="G2:G7"/>
    </sheetView>
  </sheetViews>
  <sheetFormatPr defaultRowHeight="15" x14ac:dyDescent="0.25"/>
  <sheetData>
    <row r="1" spans="1:7" x14ac:dyDescent="0.25">
      <c r="A1" s="179" t="s">
        <v>719</v>
      </c>
      <c r="B1" s="180" t="s">
        <v>720</v>
      </c>
      <c r="C1" s="180" t="s">
        <v>14</v>
      </c>
      <c r="D1" s="180" t="s">
        <v>721</v>
      </c>
      <c r="E1" s="180" t="s">
        <v>722</v>
      </c>
      <c r="F1" s="181" t="s">
        <v>723</v>
      </c>
      <c r="G1" s="188" t="s">
        <v>189</v>
      </c>
    </row>
    <row r="2" spans="1:7" x14ac:dyDescent="0.25">
      <c r="A2" s="144" t="s">
        <v>724</v>
      </c>
      <c r="B2" s="182">
        <v>3.75</v>
      </c>
      <c r="C2" s="145">
        <v>26</v>
      </c>
      <c r="D2" s="145">
        <v>0</v>
      </c>
      <c r="E2" s="145">
        <v>0</v>
      </c>
      <c r="F2" s="183">
        <v>0.86299999999999999</v>
      </c>
      <c r="G2" s="16" t="s">
        <v>768</v>
      </c>
    </row>
    <row r="3" spans="1:7" x14ac:dyDescent="0.25">
      <c r="A3" s="152" t="s">
        <v>725</v>
      </c>
      <c r="B3" s="184">
        <v>4</v>
      </c>
      <c r="C3">
        <v>27</v>
      </c>
      <c r="D3">
        <v>0</v>
      </c>
      <c r="E3">
        <v>0</v>
      </c>
      <c r="F3" s="185">
        <v>0.47699999999999998</v>
      </c>
      <c r="G3" s="16" t="s">
        <v>769</v>
      </c>
    </row>
    <row r="4" spans="1:7" x14ac:dyDescent="0.25">
      <c r="A4" s="152" t="s">
        <v>726</v>
      </c>
      <c r="B4" s="184">
        <v>7.25</v>
      </c>
      <c r="C4">
        <v>28</v>
      </c>
      <c r="D4">
        <v>1</v>
      </c>
      <c r="E4">
        <v>1</v>
      </c>
      <c r="F4" s="185">
        <v>0.98899999999999999</v>
      </c>
      <c r="G4" s="16" t="s">
        <v>770</v>
      </c>
    </row>
    <row r="5" spans="1:7" x14ac:dyDescent="0.25">
      <c r="A5" s="152" t="s">
        <v>727</v>
      </c>
      <c r="B5" s="184">
        <v>2.0350000000000001</v>
      </c>
      <c r="C5">
        <v>27</v>
      </c>
      <c r="D5">
        <v>0</v>
      </c>
      <c r="E5">
        <v>1</v>
      </c>
      <c r="F5" s="185">
        <v>0.55100000000000005</v>
      </c>
      <c r="G5" s="16" t="s">
        <v>771</v>
      </c>
    </row>
    <row r="6" spans="1:7" x14ac:dyDescent="0.25">
      <c r="A6" s="152" t="s">
        <v>728</v>
      </c>
      <c r="B6" s="184">
        <v>1.272</v>
      </c>
      <c r="C6">
        <v>30</v>
      </c>
      <c r="D6">
        <v>0</v>
      </c>
      <c r="E6">
        <v>0</v>
      </c>
      <c r="F6" s="185">
        <v>0.68200000000000005</v>
      </c>
      <c r="G6" s="16" t="s">
        <v>772</v>
      </c>
    </row>
    <row r="7" spans="1:7" x14ac:dyDescent="0.25">
      <c r="A7" s="152" t="s">
        <v>729</v>
      </c>
      <c r="B7" s="184">
        <v>3.15</v>
      </c>
      <c r="C7">
        <v>26</v>
      </c>
      <c r="D7">
        <v>0</v>
      </c>
      <c r="E7">
        <v>0</v>
      </c>
      <c r="F7" s="185">
        <v>6.8000000000000005E-2</v>
      </c>
      <c r="G7" s="16" t="s">
        <v>773</v>
      </c>
    </row>
    <row r="8" spans="1:7" x14ac:dyDescent="0.25">
      <c r="A8" s="152" t="s">
        <v>730</v>
      </c>
      <c r="B8" s="184">
        <v>7</v>
      </c>
      <c r="C8">
        <v>27</v>
      </c>
      <c r="D8">
        <v>0</v>
      </c>
      <c r="E8">
        <v>1</v>
      </c>
      <c r="F8" s="185">
        <v>0.52800000000000002</v>
      </c>
    </row>
    <row r="9" spans="1:7" x14ac:dyDescent="0.25">
      <c r="A9" s="152" t="s">
        <v>731</v>
      </c>
      <c r="B9" s="184">
        <v>2.54</v>
      </c>
      <c r="C9">
        <v>25</v>
      </c>
      <c r="D9">
        <v>0</v>
      </c>
      <c r="E9">
        <v>0</v>
      </c>
      <c r="F9" s="185">
        <v>0.93799999999999994</v>
      </c>
    </row>
    <row r="10" spans="1:7" x14ac:dyDescent="0.25">
      <c r="A10" s="152" t="s">
        <v>732</v>
      </c>
      <c r="B10" s="184">
        <v>3.84</v>
      </c>
      <c r="C10">
        <v>27</v>
      </c>
      <c r="D10">
        <v>0</v>
      </c>
      <c r="E10">
        <v>0</v>
      </c>
      <c r="F10" s="185">
        <v>0.23200000000000001</v>
      </c>
    </row>
    <row r="11" spans="1:7" x14ac:dyDescent="0.25">
      <c r="A11" s="152" t="s">
        <v>733</v>
      </c>
      <c r="B11" s="184">
        <v>1.85</v>
      </c>
      <c r="C11">
        <v>27</v>
      </c>
      <c r="D11">
        <v>0</v>
      </c>
      <c r="E11">
        <v>0</v>
      </c>
      <c r="F11" s="185">
        <v>0.70699999999999996</v>
      </c>
    </row>
    <row r="12" spans="1:7" x14ac:dyDescent="0.25">
      <c r="A12" s="152" t="s">
        <v>734</v>
      </c>
      <c r="B12" s="184">
        <v>2.5</v>
      </c>
      <c r="C12">
        <v>30</v>
      </c>
      <c r="D12">
        <v>2</v>
      </c>
      <c r="E12">
        <v>0</v>
      </c>
      <c r="F12" s="185">
        <v>0.92900000000000005</v>
      </c>
    </row>
    <row r="13" spans="1:7" x14ac:dyDescent="0.25">
      <c r="A13" s="152" t="s">
        <v>735</v>
      </c>
      <c r="B13" s="184">
        <v>10</v>
      </c>
      <c r="C13">
        <v>31</v>
      </c>
      <c r="D13">
        <v>5</v>
      </c>
      <c r="E13">
        <v>0</v>
      </c>
      <c r="F13" s="185">
        <v>0.94699999999999995</v>
      </c>
    </row>
    <row r="14" spans="1:7" x14ac:dyDescent="0.25">
      <c r="A14" s="152" t="s">
        <v>736</v>
      </c>
      <c r="B14" s="184">
        <v>1.2729999999999999</v>
      </c>
      <c r="C14">
        <v>31</v>
      </c>
      <c r="D14">
        <v>0</v>
      </c>
      <c r="E14">
        <v>0</v>
      </c>
      <c r="F14" s="185">
        <v>0.43099999999999999</v>
      </c>
    </row>
    <row r="15" spans="1:7" x14ac:dyDescent="0.25">
      <c r="A15" s="152" t="s">
        <v>737</v>
      </c>
      <c r="B15" s="184">
        <v>2.5</v>
      </c>
      <c r="C15">
        <v>30</v>
      </c>
      <c r="D15">
        <v>0</v>
      </c>
      <c r="E15">
        <v>1</v>
      </c>
      <c r="F15" s="185">
        <v>0.64200000000000002</v>
      </c>
    </row>
    <row r="16" spans="1:7" x14ac:dyDescent="0.25">
      <c r="A16" s="152" t="s">
        <v>737</v>
      </c>
      <c r="B16" s="184">
        <v>1.2729999999999999</v>
      </c>
      <c r="C16">
        <v>32</v>
      </c>
      <c r="D16">
        <v>0</v>
      </c>
      <c r="E16">
        <v>1</v>
      </c>
      <c r="F16" s="185">
        <v>0.54500000000000004</v>
      </c>
    </row>
    <row r="17" spans="1:6" x14ac:dyDescent="0.25">
      <c r="A17" s="152" t="s">
        <v>738</v>
      </c>
      <c r="B17" s="184">
        <v>5.5</v>
      </c>
      <c r="C17">
        <v>32</v>
      </c>
      <c r="D17">
        <v>2</v>
      </c>
      <c r="E17">
        <v>1</v>
      </c>
      <c r="F17" s="185">
        <v>0.76700000000000002</v>
      </c>
    </row>
    <row r="18" spans="1:6" x14ac:dyDescent="0.25">
      <c r="A18" s="152" t="s">
        <v>739</v>
      </c>
      <c r="B18" s="184">
        <v>1.77</v>
      </c>
      <c r="C18">
        <v>29</v>
      </c>
      <c r="D18">
        <v>0</v>
      </c>
      <c r="E18">
        <v>1</v>
      </c>
      <c r="F18" s="185">
        <v>3.9E-2</v>
      </c>
    </row>
    <row r="19" spans="1:6" x14ac:dyDescent="0.25">
      <c r="A19" s="152" t="s">
        <v>740</v>
      </c>
      <c r="B19" s="184">
        <v>2.25</v>
      </c>
      <c r="C19">
        <v>25</v>
      </c>
      <c r="D19">
        <v>0</v>
      </c>
      <c r="E19">
        <v>1</v>
      </c>
      <c r="F19" s="185">
        <v>0.29299999999999998</v>
      </c>
    </row>
    <row r="20" spans="1:6" x14ac:dyDescent="0.25">
      <c r="A20" s="152" t="s">
        <v>741</v>
      </c>
      <c r="B20" s="184">
        <v>11.726000000000001</v>
      </c>
      <c r="C20">
        <v>26</v>
      </c>
      <c r="D20">
        <v>0</v>
      </c>
      <c r="E20">
        <v>1</v>
      </c>
      <c r="F20" s="185">
        <v>0.92700000000000005</v>
      </c>
    </row>
    <row r="21" spans="1:6" x14ac:dyDescent="0.25">
      <c r="A21" s="152" t="s">
        <v>741</v>
      </c>
      <c r="B21" s="184">
        <v>16.5</v>
      </c>
      <c r="C21">
        <v>26</v>
      </c>
      <c r="D21">
        <v>1</v>
      </c>
      <c r="E21">
        <v>0</v>
      </c>
      <c r="F21" s="185">
        <v>0.629</v>
      </c>
    </row>
    <row r="22" spans="1:6" x14ac:dyDescent="0.25">
      <c r="A22" s="152" t="s">
        <v>741</v>
      </c>
      <c r="B22" s="184">
        <v>2</v>
      </c>
      <c r="C22">
        <v>34</v>
      </c>
      <c r="D22">
        <v>0</v>
      </c>
      <c r="E22">
        <v>0</v>
      </c>
      <c r="F22" s="185">
        <v>0.95499999999999996</v>
      </c>
    </row>
    <row r="23" spans="1:6" x14ac:dyDescent="0.25">
      <c r="A23" s="152" t="s">
        <v>742</v>
      </c>
      <c r="B23" s="184">
        <v>1.272</v>
      </c>
      <c r="C23">
        <v>30</v>
      </c>
      <c r="D23">
        <v>0</v>
      </c>
      <c r="E23">
        <v>1</v>
      </c>
      <c r="F23" s="185">
        <v>0.27200000000000002</v>
      </c>
    </row>
    <row r="24" spans="1:6" x14ac:dyDescent="0.25">
      <c r="A24" s="152" t="s">
        <v>743</v>
      </c>
      <c r="B24" s="184">
        <v>5</v>
      </c>
      <c r="C24">
        <v>28</v>
      </c>
      <c r="D24">
        <v>0</v>
      </c>
      <c r="E24">
        <v>1</v>
      </c>
      <c r="F24" s="185">
        <v>0.30299999999999999</v>
      </c>
    </row>
    <row r="25" spans="1:6" x14ac:dyDescent="0.25">
      <c r="A25" s="152" t="s">
        <v>744</v>
      </c>
      <c r="B25" s="184">
        <v>9.4329999999999998</v>
      </c>
      <c r="C25">
        <v>30</v>
      </c>
      <c r="D25">
        <v>3</v>
      </c>
      <c r="E25">
        <v>1</v>
      </c>
      <c r="F25" s="185">
        <v>0.93</v>
      </c>
    </row>
    <row r="26" spans="1:6" x14ac:dyDescent="0.25">
      <c r="A26" s="152" t="s">
        <v>745</v>
      </c>
      <c r="B26" s="184">
        <v>7.5</v>
      </c>
      <c r="C26">
        <v>29</v>
      </c>
      <c r="D26">
        <v>0</v>
      </c>
      <c r="E26">
        <v>1</v>
      </c>
      <c r="F26" s="185">
        <v>1</v>
      </c>
    </row>
    <row r="27" spans="1:6" x14ac:dyDescent="0.25">
      <c r="A27" s="152" t="s">
        <v>746</v>
      </c>
      <c r="B27" s="184">
        <v>1.77</v>
      </c>
      <c r="C27">
        <v>32</v>
      </c>
      <c r="D27">
        <v>0</v>
      </c>
      <c r="E27">
        <v>0</v>
      </c>
      <c r="F27" s="185">
        <v>0.88500000000000001</v>
      </c>
    </row>
    <row r="28" spans="1:6" x14ac:dyDescent="0.25">
      <c r="A28" s="152" t="s">
        <v>747</v>
      </c>
      <c r="B28" s="184">
        <v>1.75</v>
      </c>
      <c r="C28">
        <v>30</v>
      </c>
      <c r="D28">
        <v>0</v>
      </c>
      <c r="E28">
        <v>0</v>
      </c>
      <c r="F28" s="185">
        <v>0.61399999999999999</v>
      </c>
    </row>
    <row r="29" spans="1:6" x14ac:dyDescent="0.25">
      <c r="A29" s="152" t="s">
        <v>748</v>
      </c>
      <c r="B29" s="184">
        <v>2.5</v>
      </c>
      <c r="C29">
        <v>26</v>
      </c>
      <c r="D29">
        <v>0</v>
      </c>
      <c r="E29">
        <v>0</v>
      </c>
      <c r="F29" s="185">
        <v>9.0999999999999998E-2</v>
      </c>
    </row>
    <row r="30" spans="1:6" x14ac:dyDescent="0.25">
      <c r="A30" s="152" t="s">
        <v>749</v>
      </c>
      <c r="B30" s="184">
        <v>2</v>
      </c>
      <c r="C30">
        <v>28</v>
      </c>
      <c r="D30">
        <v>0</v>
      </c>
      <c r="E30">
        <v>0</v>
      </c>
      <c r="F30" s="185">
        <v>0.44700000000000001</v>
      </c>
    </row>
    <row r="31" spans="1:6" x14ac:dyDescent="0.25">
      <c r="A31" s="152" t="s">
        <v>750</v>
      </c>
      <c r="B31" s="184">
        <v>1.2729999999999999</v>
      </c>
      <c r="C31">
        <v>27</v>
      </c>
      <c r="D31">
        <v>1</v>
      </c>
      <c r="E31">
        <v>1</v>
      </c>
      <c r="F31" s="185">
        <v>0.84099999999999997</v>
      </c>
    </row>
    <row r="32" spans="1:6" x14ac:dyDescent="0.25">
      <c r="A32" s="152" t="s">
        <v>751</v>
      </c>
      <c r="B32" s="184">
        <v>4.5</v>
      </c>
      <c r="C32">
        <v>29</v>
      </c>
      <c r="D32">
        <v>0</v>
      </c>
      <c r="E32">
        <v>0</v>
      </c>
      <c r="F32" s="185">
        <v>0.85699999999999998</v>
      </c>
    </row>
    <row r="33" spans="1:6" x14ac:dyDescent="0.25">
      <c r="A33" s="152" t="s">
        <v>752</v>
      </c>
      <c r="B33" s="184">
        <v>3.1669999999999998</v>
      </c>
      <c r="C33">
        <v>28</v>
      </c>
      <c r="D33">
        <v>0</v>
      </c>
      <c r="E33">
        <v>1</v>
      </c>
      <c r="F33" s="185">
        <v>0.154</v>
      </c>
    </row>
    <row r="34" spans="1:6" x14ac:dyDescent="0.25">
      <c r="A34" s="152" t="s">
        <v>753</v>
      </c>
      <c r="B34" s="184">
        <v>2.3849999999999998</v>
      </c>
      <c r="C34">
        <v>25</v>
      </c>
      <c r="D34">
        <v>0</v>
      </c>
      <c r="E34">
        <v>1</v>
      </c>
      <c r="F34" s="185">
        <v>0.66</v>
      </c>
    </row>
    <row r="35" spans="1:6" x14ac:dyDescent="0.25">
      <c r="A35" s="152" t="s">
        <v>754</v>
      </c>
      <c r="B35" s="184">
        <v>2</v>
      </c>
      <c r="C35">
        <v>26</v>
      </c>
      <c r="D35">
        <v>0</v>
      </c>
      <c r="E35">
        <v>0</v>
      </c>
      <c r="F35" s="185">
        <v>0.96699999999999997</v>
      </c>
    </row>
    <row r="36" spans="1:6" x14ac:dyDescent="0.25">
      <c r="A36" s="152" t="s">
        <v>755</v>
      </c>
      <c r="B36" s="184">
        <v>4</v>
      </c>
      <c r="C36">
        <v>32</v>
      </c>
      <c r="D36">
        <v>8</v>
      </c>
      <c r="E36">
        <v>1</v>
      </c>
      <c r="F36" s="185">
        <v>1</v>
      </c>
    </row>
    <row r="37" spans="1:6" x14ac:dyDescent="0.25">
      <c r="A37" s="152" t="s">
        <v>756</v>
      </c>
      <c r="B37" s="184">
        <v>11</v>
      </c>
      <c r="C37">
        <v>25</v>
      </c>
      <c r="D37">
        <v>0</v>
      </c>
      <c r="E37">
        <v>0</v>
      </c>
      <c r="F37" s="185">
        <v>0.436</v>
      </c>
    </row>
    <row r="38" spans="1:6" x14ac:dyDescent="0.25">
      <c r="A38" s="152" t="s">
        <v>757</v>
      </c>
      <c r="B38" s="184">
        <v>10.5</v>
      </c>
      <c r="C38">
        <v>25</v>
      </c>
      <c r="D38">
        <v>0</v>
      </c>
      <c r="E38">
        <v>0</v>
      </c>
      <c r="F38" s="185">
        <v>0.93</v>
      </c>
    </row>
    <row r="39" spans="1:6" x14ac:dyDescent="0.25">
      <c r="A39" s="152" t="s">
        <v>758</v>
      </c>
      <c r="B39" s="184">
        <v>1.272</v>
      </c>
      <c r="C39">
        <v>32</v>
      </c>
      <c r="D39">
        <v>0</v>
      </c>
      <c r="E39">
        <v>1</v>
      </c>
      <c r="F39" s="185">
        <v>0.35099999999999998</v>
      </c>
    </row>
    <row r="40" spans="1:6" x14ac:dyDescent="0.25">
      <c r="A40" s="152" t="s">
        <v>759</v>
      </c>
      <c r="B40" s="184">
        <v>2.25</v>
      </c>
      <c r="C40">
        <v>26</v>
      </c>
      <c r="D40">
        <v>0</v>
      </c>
      <c r="E40">
        <v>0</v>
      </c>
      <c r="F40" s="185">
        <v>0.18</v>
      </c>
    </row>
    <row r="41" spans="1:6" x14ac:dyDescent="0.25">
      <c r="A41" s="152" t="s">
        <v>760</v>
      </c>
      <c r="B41" s="184">
        <v>1.75</v>
      </c>
      <c r="C41">
        <v>25</v>
      </c>
      <c r="D41">
        <v>0</v>
      </c>
      <c r="E41">
        <v>1</v>
      </c>
      <c r="F41" s="185">
        <v>0.38900000000000001</v>
      </c>
    </row>
    <row r="42" spans="1:6" x14ac:dyDescent="0.25">
      <c r="A42" s="152" t="s">
        <v>761</v>
      </c>
      <c r="B42" s="184">
        <v>4</v>
      </c>
      <c r="C42">
        <v>27</v>
      </c>
      <c r="D42">
        <v>0</v>
      </c>
      <c r="E42">
        <v>0</v>
      </c>
      <c r="F42" s="185">
        <v>1</v>
      </c>
    </row>
    <row r="43" spans="1:6" x14ac:dyDescent="0.25">
      <c r="A43" s="152" t="s">
        <v>762</v>
      </c>
      <c r="B43" s="184">
        <v>13.5</v>
      </c>
      <c r="C43">
        <v>26</v>
      </c>
      <c r="D43">
        <v>0</v>
      </c>
      <c r="E43">
        <v>1</v>
      </c>
      <c r="F43" s="185">
        <v>0.76800000000000002</v>
      </c>
    </row>
    <row r="44" spans="1:6" x14ac:dyDescent="0.25">
      <c r="A44" s="152" t="s">
        <v>763</v>
      </c>
      <c r="B44" s="184">
        <v>7.25</v>
      </c>
      <c r="C44">
        <v>25</v>
      </c>
      <c r="D44">
        <v>0</v>
      </c>
      <c r="E44">
        <v>0</v>
      </c>
      <c r="F44" s="185">
        <v>0.93200000000000005</v>
      </c>
    </row>
    <row r="45" spans="1:6" x14ac:dyDescent="0.25">
      <c r="A45" s="152" t="s">
        <v>764</v>
      </c>
      <c r="B45" s="184">
        <v>10</v>
      </c>
      <c r="C45">
        <v>29</v>
      </c>
      <c r="D45">
        <v>0</v>
      </c>
      <c r="E45">
        <v>0</v>
      </c>
      <c r="F45" s="185">
        <v>0.56499999999999995</v>
      </c>
    </row>
    <row r="46" spans="1:6" x14ac:dyDescent="0.25">
      <c r="A46" s="152" t="s">
        <v>764</v>
      </c>
      <c r="B46" s="184">
        <v>2.6</v>
      </c>
      <c r="C46">
        <v>31</v>
      </c>
      <c r="D46">
        <v>0</v>
      </c>
      <c r="E46">
        <v>0</v>
      </c>
      <c r="F46" s="185">
        <v>0.505</v>
      </c>
    </row>
    <row r="47" spans="1:6" x14ac:dyDescent="0.25">
      <c r="A47" s="152" t="s">
        <v>764</v>
      </c>
      <c r="B47" s="184">
        <v>14</v>
      </c>
      <c r="C47">
        <v>25</v>
      </c>
      <c r="D47">
        <v>0</v>
      </c>
      <c r="E47">
        <v>0</v>
      </c>
      <c r="F47" s="185">
        <v>1</v>
      </c>
    </row>
    <row r="48" spans="1:6" x14ac:dyDescent="0.25">
      <c r="A48" s="152" t="s">
        <v>764</v>
      </c>
      <c r="B48" s="184">
        <v>2.3849999999999998</v>
      </c>
      <c r="C48">
        <v>29</v>
      </c>
      <c r="D48">
        <v>0</v>
      </c>
      <c r="E48">
        <v>1</v>
      </c>
      <c r="F48" s="185">
        <v>0.39700000000000002</v>
      </c>
    </row>
    <row r="49" spans="1:6" x14ac:dyDescent="0.25">
      <c r="A49" s="152" t="s">
        <v>765</v>
      </c>
      <c r="B49" s="184">
        <v>4</v>
      </c>
      <c r="C49">
        <v>27</v>
      </c>
      <c r="D49">
        <v>0</v>
      </c>
      <c r="E49">
        <v>0</v>
      </c>
      <c r="F49" s="185">
        <v>0.64300000000000002</v>
      </c>
    </row>
    <row r="50" spans="1:6" x14ac:dyDescent="0.25">
      <c r="A50" s="152" t="s">
        <v>766</v>
      </c>
      <c r="B50" s="184">
        <v>5</v>
      </c>
      <c r="C50">
        <v>27</v>
      </c>
      <c r="D50">
        <v>0</v>
      </c>
      <c r="E50">
        <v>1</v>
      </c>
      <c r="F50" s="185">
        <v>0.84399999999999997</v>
      </c>
    </row>
    <row r="51" spans="1:6" x14ac:dyDescent="0.25">
      <c r="A51" s="159" t="s">
        <v>767</v>
      </c>
      <c r="B51" s="186">
        <v>1.365</v>
      </c>
      <c r="C51" s="160">
        <v>28</v>
      </c>
      <c r="D51" s="160">
        <v>0</v>
      </c>
      <c r="E51" s="160">
        <v>1</v>
      </c>
      <c r="F51" s="187">
        <v>0.48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0183-339E-4148-92AF-92192382FE2F}">
  <dimension ref="A1:F201"/>
  <sheetViews>
    <sheetView workbookViewId="0">
      <selection activeCell="G17" sqref="G17"/>
    </sheetView>
  </sheetViews>
  <sheetFormatPr defaultRowHeight="15" x14ac:dyDescent="0.25"/>
  <sheetData>
    <row r="1" spans="1:6" x14ac:dyDescent="0.25">
      <c r="A1" s="99" t="s">
        <v>0</v>
      </c>
      <c r="B1" s="99" t="s">
        <v>774</v>
      </c>
      <c r="C1" s="99" t="s">
        <v>325</v>
      </c>
      <c r="D1" s="99" t="s">
        <v>775</v>
      </c>
      <c r="E1" s="99" t="s">
        <v>776</v>
      </c>
      <c r="F1" s="99" t="s">
        <v>189</v>
      </c>
    </row>
    <row r="2" spans="1:6" x14ac:dyDescent="0.25">
      <c r="A2" s="100">
        <v>1</v>
      </c>
      <c r="B2" s="100">
        <v>1</v>
      </c>
      <c r="C2" s="189">
        <v>55.5</v>
      </c>
      <c r="D2" s="100">
        <v>0</v>
      </c>
      <c r="E2" s="100">
        <v>0</v>
      </c>
      <c r="F2" s="62" t="s">
        <v>777</v>
      </c>
    </row>
    <row r="3" spans="1:6" x14ac:dyDescent="0.25">
      <c r="A3" s="100">
        <v>2</v>
      </c>
      <c r="B3" s="100">
        <v>1</v>
      </c>
      <c r="C3" s="189">
        <v>40</v>
      </c>
      <c r="D3" s="100">
        <v>0</v>
      </c>
      <c r="E3" s="100">
        <v>1</v>
      </c>
      <c r="F3" s="62" t="s">
        <v>778</v>
      </c>
    </row>
    <row r="4" spans="1:6" x14ac:dyDescent="0.25">
      <c r="A4" s="100">
        <v>3</v>
      </c>
      <c r="B4" s="100">
        <v>1</v>
      </c>
      <c r="C4" s="189">
        <v>60.5</v>
      </c>
      <c r="D4" s="100">
        <v>1</v>
      </c>
      <c r="E4" s="100">
        <v>0</v>
      </c>
      <c r="F4" s="62" t="s">
        <v>779</v>
      </c>
    </row>
    <row r="5" spans="1:6" x14ac:dyDescent="0.25">
      <c r="A5" s="100">
        <v>4</v>
      </c>
      <c r="B5" s="100">
        <v>0</v>
      </c>
      <c r="C5" s="189">
        <v>83.6</v>
      </c>
      <c r="D5" s="100">
        <v>0</v>
      </c>
      <c r="E5" s="100">
        <v>1</v>
      </c>
      <c r="F5" s="62" t="s">
        <v>780</v>
      </c>
    </row>
    <row r="6" spans="1:6" x14ac:dyDescent="0.25">
      <c r="A6" s="100">
        <v>5</v>
      </c>
      <c r="B6" s="100">
        <v>0</v>
      </c>
      <c r="C6" s="189">
        <v>73</v>
      </c>
      <c r="D6" s="100">
        <v>0</v>
      </c>
      <c r="E6" s="100">
        <v>1</v>
      </c>
    </row>
    <row r="7" spans="1:6" x14ac:dyDescent="0.25">
      <c r="A7" s="100">
        <v>6</v>
      </c>
      <c r="B7" s="100">
        <v>0</v>
      </c>
      <c r="C7" s="189">
        <v>48.1</v>
      </c>
      <c r="D7" s="100">
        <v>0</v>
      </c>
      <c r="E7" s="100">
        <v>0</v>
      </c>
    </row>
    <row r="8" spans="1:6" x14ac:dyDescent="0.25">
      <c r="A8" s="100">
        <v>7</v>
      </c>
      <c r="B8" s="100">
        <v>0</v>
      </c>
      <c r="C8" s="189">
        <v>58.9</v>
      </c>
      <c r="D8" s="100">
        <v>1</v>
      </c>
      <c r="E8" s="100">
        <v>1</v>
      </c>
    </row>
    <row r="9" spans="1:6" x14ac:dyDescent="0.25">
      <c r="A9" s="100">
        <v>8</v>
      </c>
      <c r="B9" s="100">
        <v>1</v>
      </c>
      <c r="C9" s="189">
        <v>37.4</v>
      </c>
      <c r="D9" s="100">
        <v>1</v>
      </c>
      <c r="E9" s="100">
        <v>1</v>
      </c>
    </row>
    <row r="10" spans="1:6" x14ac:dyDescent="0.25">
      <c r="A10" s="100">
        <v>9</v>
      </c>
      <c r="B10" s="100">
        <v>0</v>
      </c>
      <c r="C10" s="189">
        <v>57</v>
      </c>
      <c r="D10" s="100">
        <v>0</v>
      </c>
      <c r="E10" s="100">
        <v>1</v>
      </c>
    </row>
    <row r="11" spans="1:6" x14ac:dyDescent="0.25">
      <c r="A11" s="100">
        <v>10</v>
      </c>
      <c r="B11" s="100">
        <v>0</v>
      </c>
      <c r="C11" s="189">
        <v>57.3</v>
      </c>
      <c r="D11" s="100">
        <v>1</v>
      </c>
      <c r="E11" s="100">
        <v>1</v>
      </c>
    </row>
    <row r="12" spans="1:6" x14ac:dyDescent="0.25">
      <c r="A12" s="100">
        <v>11</v>
      </c>
      <c r="B12" s="100">
        <v>0</v>
      </c>
      <c r="C12" s="189">
        <v>43.9</v>
      </c>
      <c r="D12" s="100">
        <v>1</v>
      </c>
      <c r="E12" s="100">
        <v>1</v>
      </c>
    </row>
    <row r="13" spans="1:6" x14ac:dyDescent="0.25">
      <c r="A13" s="100">
        <v>12</v>
      </c>
      <c r="B13" s="100">
        <v>0</v>
      </c>
      <c r="C13" s="189">
        <v>50.9</v>
      </c>
      <c r="D13" s="100">
        <v>0</v>
      </c>
      <c r="E13" s="100">
        <v>0</v>
      </c>
    </row>
    <row r="14" spans="1:6" x14ac:dyDescent="0.25">
      <c r="A14" s="100">
        <v>13</v>
      </c>
      <c r="B14" s="100">
        <v>1</v>
      </c>
      <c r="C14" s="189">
        <v>68.3</v>
      </c>
      <c r="D14" s="100">
        <v>1</v>
      </c>
      <c r="E14" s="100">
        <v>1</v>
      </c>
    </row>
    <row r="15" spans="1:6" x14ac:dyDescent="0.25">
      <c r="A15" s="100">
        <v>14</v>
      </c>
      <c r="B15" s="100">
        <v>0</v>
      </c>
      <c r="C15" s="189">
        <v>50</v>
      </c>
      <c r="D15" s="100">
        <v>0</v>
      </c>
      <c r="E15" s="100">
        <v>1</v>
      </c>
    </row>
    <row r="16" spans="1:6" x14ac:dyDescent="0.25">
      <c r="A16" s="100">
        <v>15</v>
      </c>
      <c r="B16" s="100">
        <v>1</v>
      </c>
      <c r="C16" s="189">
        <v>75.5</v>
      </c>
      <c r="D16" s="100">
        <v>1</v>
      </c>
      <c r="E16" s="100">
        <v>0</v>
      </c>
    </row>
    <row r="17" spans="1:5" x14ac:dyDescent="0.25">
      <c r="A17" s="100">
        <v>16</v>
      </c>
      <c r="B17" s="100">
        <v>1</v>
      </c>
      <c r="C17" s="189">
        <v>78</v>
      </c>
      <c r="D17" s="100">
        <v>0</v>
      </c>
      <c r="E17" s="100">
        <v>1</v>
      </c>
    </row>
    <row r="18" spans="1:5" x14ac:dyDescent="0.25">
      <c r="A18" s="100">
        <v>17</v>
      </c>
      <c r="B18" s="100">
        <v>1</v>
      </c>
      <c r="C18" s="189">
        <v>73</v>
      </c>
      <c r="D18" s="100">
        <v>1</v>
      </c>
      <c r="E18" s="100">
        <v>1</v>
      </c>
    </row>
    <row r="19" spans="1:5" x14ac:dyDescent="0.25">
      <c r="A19" s="100">
        <v>18</v>
      </c>
      <c r="B19" s="100">
        <v>0</v>
      </c>
      <c r="C19" s="189">
        <v>55.9</v>
      </c>
      <c r="D19" s="100">
        <v>0</v>
      </c>
      <c r="E19" s="100">
        <v>1</v>
      </c>
    </row>
    <row r="20" spans="1:5" x14ac:dyDescent="0.25">
      <c r="A20" s="100">
        <v>19</v>
      </c>
      <c r="B20" s="100">
        <v>0</v>
      </c>
      <c r="C20" s="189">
        <v>48.7</v>
      </c>
      <c r="D20" s="100">
        <v>1</v>
      </c>
      <c r="E20" s="100">
        <v>1</v>
      </c>
    </row>
    <row r="21" spans="1:5" x14ac:dyDescent="0.25">
      <c r="A21" s="100">
        <v>20</v>
      </c>
      <c r="B21" s="100">
        <v>0</v>
      </c>
      <c r="C21" s="189">
        <v>47.6</v>
      </c>
      <c r="D21" s="100">
        <v>1</v>
      </c>
      <c r="E21" s="100">
        <v>0</v>
      </c>
    </row>
    <row r="22" spans="1:5" x14ac:dyDescent="0.25">
      <c r="A22" s="100">
        <v>21</v>
      </c>
      <c r="B22" s="100">
        <v>0</v>
      </c>
      <c r="C22" s="189">
        <v>63.3</v>
      </c>
      <c r="D22" s="100">
        <v>1</v>
      </c>
      <c r="E22" s="100">
        <v>1</v>
      </c>
    </row>
    <row r="23" spans="1:5" x14ac:dyDescent="0.25">
      <c r="A23" s="100">
        <v>22</v>
      </c>
      <c r="B23" s="100">
        <v>0</v>
      </c>
      <c r="C23" s="189">
        <v>57.4</v>
      </c>
      <c r="D23" s="100">
        <v>1</v>
      </c>
      <c r="E23" s="100">
        <v>1</v>
      </c>
    </row>
    <row r="24" spans="1:5" x14ac:dyDescent="0.25">
      <c r="A24" s="100">
        <v>23</v>
      </c>
      <c r="B24" s="100">
        <v>0</v>
      </c>
      <c r="C24" s="189">
        <v>58.7</v>
      </c>
      <c r="D24" s="100">
        <v>1</v>
      </c>
      <c r="E24" s="100">
        <v>1</v>
      </c>
    </row>
    <row r="25" spans="1:5" x14ac:dyDescent="0.25">
      <c r="A25" s="100">
        <v>24</v>
      </c>
      <c r="B25" s="100">
        <v>0</v>
      </c>
      <c r="C25" s="189">
        <v>59.9</v>
      </c>
      <c r="D25" s="100">
        <v>0</v>
      </c>
      <c r="E25" s="100">
        <v>1</v>
      </c>
    </row>
    <row r="26" spans="1:5" x14ac:dyDescent="0.25">
      <c r="A26" s="100">
        <v>25</v>
      </c>
      <c r="B26" s="100">
        <v>1</v>
      </c>
      <c r="C26" s="189">
        <v>91.6</v>
      </c>
      <c r="D26" s="100">
        <v>1</v>
      </c>
      <c r="E26" s="100">
        <v>1</v>
      </c>
    </row>
    <row r="27" spans="1:5" x14ac:dyDescent="0.25">
      <c r="A27" s="100">
        <v>26</v>
      </c>
      <c r="B27" s="100">
        <v>1</v>
      </c>
      <c r="C27" s="189">
        <v>62.7</v>
      </c>
      <c r="D27" s="100">
        <v>0</v>
      </c>
      <c r="E27" s="100">
        <v>0</v>
      </c>
    </row>
    <row r="28" spans="1:5" x14ac:dyDescent="0.25">
      <c r="A28" s="100">
        <v>27</v>
      </c>
      <c r="B28" s="100">
        <v>1</v>
      </c>
      <c r="C28" s="189">
        <v>64.400000000000006</v>
      </c>
      <c r="D28" s="100">
        <v>1</v>
      </c>
      <c r="E28" s="100">
        <v>0</v>
      </c>
    </row>
    <row r="29" spans="1:5" x14ac:dyDescent="0.25">
      <c r="A29" s="100">
        <v>28</v>
      </c>
      <c r="B29" s="100">
        <v>0</v>
      </c>
      <c r="C29" s="189">
        <v>51.7</v>
      </c>
      <c r="D29" s="100">
        <v>0</v>
      </c>
      <c r="E29" s="100">
        <v>1</v>
      </c>
    </row>
    <row r="30" spans="1:5" x14ac:dyDescent="0.25">
      <c r="A30" s="100">
        <v>29</v>
      </c>
      <c r="B30" s="100">
        <v>1</v>
      </c>
      <c r="C30" s="189">
        <v>52</v>
      </c>
      <c r="D30" s="100">
        <v>1</v>
      </c>
      <c r="E30" s="100">
        <v>1</v>
      </c>
    </row>
    <row r="31" spans="1:5" x14ac:dyDescent="0.25">
      <c r="A31" s="100">
        <v>30</v>
      </c>
      <c r="B31" s="100">
        <v>0</v>
      </c>
      <c r="C31" s="189">
        <v>34.299999999999997</v>
      </c>
      <c r="D31" s="100">
        <v>0</v>
      </c>
      <c r="E31" s="100">
        <v>1</v>
      </c>
    </row>
    <row r="32" spans="1:5" x14ac:dyDescent="0.25">
      <c r="A32" s="100">
        <v>31</v>
      </c>
      <c r="B32" s="100">
        <v>1</v>
      </c>
      <c r="C32" s="189">
        <v>39.4</v>
      </c>
      <c r="D32" s="100">
        <v>1</v>
      </c>
      <c r="E32" s="100">
        <v>1</v>
      </c>
    </row>
    <row r="33" spans="1:5" x14ac:dyDescent="0.25">
      <c r="A33" s="100">
        <v>32</v>
      </c>
      <c r="B33" s="100">
        <v>0</v>
      </c>
      <c r="C33" s="189">
        <v>60.9</v>
      </c>
      <c r="D33" s="100">
        <v>0</v>
      </c>
      <c r="E33" s="100">
        <v>0</v>
      </c>
    </row>
    <row r="34" spans="1:5" x14ac:dyDescent="0.25">
      <c r="A34" s="100">
        <v>33</v>
      </c>
      <c r="B34" s="100">
        <v>0</v>
      </c>
      <c r="C34" s="189">
        <v>78.599999999999994</v>
      </c>
      <c r="D34" s="100">
        <v>0</v>
      </c>
      <c r="E34" s="100">
        <v>1</v>
      </c>
    </row>
    <row r="35" spans="1:5" x14ac:dyDescent="0.25">
      <c r="A35" s="100">
        <v>34</v>
      </c>
      <c r="B35" s="100">
        <v>1</v>
      </c>
      <c r="C35" s="189">
        <v>41.5</v>
      </c>
      <c r="D35" s="100">
        <v>1</v>
      </c>
      <c r="E35" s="100">
        <v>1</v>
      </c>
    </row>
    <row r="36" spans="1:5" x14ac:dyDescent="0.25">
      <c r="A36" s="100">
        <v>35</v>
      </c>
      <c r="B36" s="100">
        <v>1</v>
      </c>
      <c r="C36" s="189">
        <v>70.8</v>
      </c>
      <c r="D36" s="100">
        <v>0</v>
      </c>
      <c r="E36" s="100">
        <v>0</v>
      </c>
    </row>
    <row r="37" spans="1:5" x14ac:dyDescent="0.25">
      <c r="A37" s="100">
        <v>36</v>
      </c>
      <c r="B37" s="100">
        <v>1</v>
      </c>
      <c r="C37" s="189">
        <v>51.1</v>
      </c>
      <c r="D37" s="100">
        <v>0</v>
      </c>
      <c r="E37" s="100">
        <v>0</v>
      </c>
    </row>
    <row r="38" spans="1:5" x14ac:dyDescent="0.25">
      <c r="A38" s="100">
        <v>37</v>
      </c>
      <c r="B38" s="100">
        <v>1</v>
      </c>
      <c r="C38" s="189">
        <v>63.9</v>
      </c>
      <c r="D38" s="100">
        <v>1</v>
      </c>
      <c r="E38" s="100">
        <v>0</v>
      </c>
    </row>
    <row r="39" spans="1:5" x14ac:dyDescent="0.25">
      <c r="A39" s="100">
        <v>38</v>
      </c>
      <c r="B39" s="100">
        <v>0</v>
      </c>
      <c r="C39" s="189">
        <v>50.3</v>
      </c>
      <c r="D39" s="100">
        <v>0</v>
      </c>
      <c r="E39" s="100">
        <v>1</v>
      </c>
    </row>
    <row r="40" spans="1:5" x14ac:dyDescent="0.25">
      <c r="A40" s="100">
        <v>39</v>
      </c>
      <c r="B40" s="100">
        <v>0</v>
      </c>
      <c r="C40" s="189">
        <v>38.299999999999997</v>
      </c>
      <c r="D40" s="100">
        <v>1</v>
      </c>
      <c r="E40" s="100">
        <v>1</v>
      </c>
    </row>
    <row r="41" spans="1:5" x14ac:dyDescent="0.25">
      <c r="A41" s="100">
        <v>40</v>
      </c>
      <c r="B41" s="100">
        <v>0</v>
      </c>
      <c r="C41" s="189">
        <v>47.2</v>
      </c>
      <c r="D41" s="100">
        <v>0</v>
      </c>
      <c r="E41" s="100">
        <v>0</v>
      </c>
    </row>
    <row r="42" spans="1:5" x14ac:dyDescent="0.25">
      <c r="A42" s="100">
        <v>41</v>
      </c>
      <c r="B42" s="100">
        <v>0</v>
      </c>
      <c r="C42" s="189">
        <v>51.3</v>
      </c>
      <c r="D42" s="100">
        <v>1</v>
      </c>
      <c r="E42" s="100">
        <v>1</v>
      </c>
    </row>
    <row r="43" spans="1:5" x14ac:dyDescent="0.25">
      <c r="A43" s="100">
        <v>42</v>
      </c>
      <c r="B43" s="100">
        <v>1</v>
      </c>
      <c r="C43" s="189">
        <v>79.400000000000006</v>
      </c>
      <c r="D43" s="100">
        <v>0</v>
      </c>
      <c r="E43" s="100">
        <v>1</v>
      </c>
    </row>
    <row r="44" spans="1:5" x14ac:dyDescent="0.25">
      <c r="A44" s="100">
        <v>43</v>
      </c>
      <c r="B44" s="100">
        <v>0</v>
      </c>
      <c r="C44" s="189">
        <v>37.4</v>
      </c>
      <c r="D44" s="100">
        <v>0</v>
      </c>
      <c r="E44" s="100">
        <v>0</v>
      </c>
    </row>
    <row r="45" spans="1:5" x14ac:dyDescent="0.25">
      <c r="A45" s="100">
        <v>44</v>
      </c>
      <c r="B45" s="100">
        <v>1</v>
      </c>
      <c r="C45" s="189">
        <v>76.3</v>
      </c>
      <c r="D45" s="100">
        <v>0</v>
      </c>
      <c r="E45" s="100">
        <v>1</v>
      </c>
    </row>
    <row r="46" spans="1:5" x14ac:dyDescent="0.25">
      <c r="A46" s="100">
        <v>45</v>
      </c>
      <c r="B46" s="100">
        <v>0</v>
      </c>
      <c r="C46" s="189">
        <v>34.4</v>
      </c>
      <c r="D46" s="100">
        <v>0</v>
      </c>
      <c r="E46" s="100">
        <v>1</v>
      </c>
    </row>
    <row r="47" spans="1:5" x14ac:dyDescent="0.25">
      <c r="A47" s="100">
        <v>46</v>
      </c>
      <c r="B47" s="100">
        <v>0</v>
      </c>
      <c r="C47" s="189">
        <v>34.700000000000003</v>
      </c>
      <c r="D47" s="100">
        <v>0</v>
      </c>
      <c r="E47" s="100">
        <v>1</v>
      </c>
    </row>
    <row r="48" spans="1:5" x14ac:dyDescent="0.25">
      <c r="A48" s="100">
        <v>47</v>
      </c>
      <c r="B48" s="100">
        <v>0</v>
      </c>
      <c r="C48" s="189">
        <v>70.2</v>
      </c>
      <c r="D48" s="100">
        <v>1</v>
      </c>
      <c r="E48" s="100">
        <v>0</v>
      </c>
    </row>
    <row r="49" spans="1:5" x14ac:dyDescent="0.25">
      <c r="A49" s="100">
        <v>48</v>
      </c>
      <c r="B49" s="100">
        <v>0</v>
      </c>
      <c r="C49" s="189">
        <v>65.599999999999994</v>
      </c>
      <c r="D49" s="100">
        <v>0</v>
      </c>
      <c r="E49" s="100">
        <v>0</v>
      </c>
    </row>
    <row r="50" spans="1:5" x14ac:dyDescent="0.25">
      <c r="A50" s="100">
        <v>49</v>
      </c>
      <c r="B50" s="100">
        <v>1</v>
      </c>
      <c r="C50" s="189">
        <v>53</v>
      </c>
      <c r="D50" s="100">
        <v>1</v>
      </c>
      <c r="E50" s="100">
        <v>1</v>
      </c>
    </row>
    <row r="51" spans="1:5" x14ac:dyDescent="0.25">
      <c r="A51" s="100">
        <v>50</v>
      </c>
      <c r="B51" s="100">
        <v>1</v>
      </c>
      <c r="C51" s="189">
        <v>43.1</v>
      </c>
      <c r="D51" s="100">
        <v>1</v>
      </c>
      <c r="E51" s="100">
        <v>1</v>
      </c>
    </row>
    <row r="52" spans="1:5" x14ac:dyDescent="0.25">
      <c r="A52" s="100">
        <v>51</v>
      </c>
      <c r="B52" s="100">
        <v>0</v>
      </c>
      <c r="C52" s="189">
        <v>64.099999999999994</v>
      </c>
      <c r="D52" s="100">
        <v>0</v>
      </c>
      <c r="E52" s="100">
        <v>1</v>
      </c>
    </row>
    <row r="53" spans="1:5" x14ac:dyDescent="0.25">
      <c r="A53" s="100">
        <v>52</v>
      </c>
      <c r="B53" s="100">
        <v>0</v>
      </c>
      <c r="C53" s="189">
        <v>59.4</v>
      </c>
      <c r="D53" s="100">
        <v>0</v>
      </c>
      <c r="E53" s="100">
        <v>1</v>
      </c>
    </row>
    <row r="54" spans="1:5" x14ac:dyDescent="0.25">
      <c r="A54" s="100">
        <v>53</v>
      </c>
      <c r="B54" s="100">
        <v>1</v>
      </c>
      <c r="C54" s="189">
        <v>59.3</v>
      </c>
      <c r="D54" s="100">
        <v>1</v>
      </c>
      <c r="E54" s="100">
        <v>0</v>
      </c>
    </row>
    <row r="55" spans="1:5" x14ac:dyDescent="0.25">
      <c r="A55" s="100">
        <v>54</v>
      </c>
      <c r="B55" s="100">
        <v>0</v>
      </c>
      <c r="C55" s="189">
        <v>56.7</v>
      </c>
      <c r="D55" s="100">
        <v>0</v>
      </c>
      <c r="E55" s="100">
        <v>1</v>
      </c>
    </row>
    <row r="56" spans="1:5" x14ac:dyDescent="0.25">
      <c r="A56" s="100">
        <v>55</v>
      </c>
      <c r="B56" s="100">
        <v>0</v>
      </c>
      <c r="C56" s="189">
        <v>45.4</v>
      </c>
      <c r="D56" s="100">
        <v>0</v>
      </c>
      <c r="E56" s="100">
        <v>1</v>
      </c>
    </row>
    <row r="57" spans="1:5" x14ac:dyDescent="0.25">
      <c r="A57" s="100">
        <v>56</v>
      </c>
      <c r="B57" s="100">
        <v>1</v>
      </c>
      <c r="C57" s="189">
        <v>68.7</v>
      </c>
      <c r="D57" s="100">
        <v>1</v>
      </c>
      <c r="E57" s="100">
        <v>1</v>
      </c>
    </row>
    <row r="58" spans="1:5" x14ac:dyDescent="0.25">
      <c r="A58" s="100">
        <v>57</v>
      </c>
      <c r="B58" s="100">
        <v>1</v>
      </c>
      <c r="C58" s="189">
        <v>44.3</v>
      </c>
      <c r="D58" s="100">
        <v>1</v>
      </c>
      <c r="E58" s="100">
        <v>1</v>
      </c>
    </row>
    <row r="59" spans="1:5" x14ac:dyDescent="0.25">
      <c r="A59" s="100">
        <v>58</v>
      </c>
      <c r="B59" s="100">
        <v>0</v>
      </c>
      <c r="C59" s="189">
        <v>57.2</v>
      </c>
      <c r="D59" s="100">
        <v>1</v>
      </c>
      <c r="E59" s="100">
        <v>0</v>
      </c>
    </row>
    <row r="60" spans="1:5" x14ac:dyDescent="0.25">
      <c r="A60" s="100">
        <v>59</v>
      </c>
      <c r="B60" s="100">
        <v>1</v>
      </c>
      <c r="C60" s="189">
        <v>77.099999999999994</v>
      </c>
      <c r="D60" s="100">
        <v>1</v>
      </c>
      <c r="E60" s="100">
        <v>0</v>
      </c>
    </row>
    <row r="61" spans="1:5" x14ac:dyDescent="0.25">
      <c r="A61" s="100">
        <v>60</v>
      </c>
      <c r="B61" s="100">
        <v>0</v>
      </c>
      <c r="C61" s="189">
        <v>69.8</v>
      </c>
      <c r="D61" s="100">
        <v>1</v>
      </c>
      <c r="E61" s="100">
        <v>0</v>
      </c>
    </row>
    <row r="62" spans="1:5" x14ac:dyDescent="0.25">
      <c r="A62" s="100">
        <v>61</v>
      </c>
      <c r="B62" s="100">
        <v>0</v>
      </c>
      <c r="C62" s="189">
        <v>33.200000000000003</v>
      </c>
      <c r="D62" s="100">
        <v>1</v>
      </c>
      <c r="E62" s="100">
        <v>1</v>
      </c>
    </row>
    <row r="63" spans="1:5" x14ac:dyDescent="0.25">
      <c r="A63" s="100">
        <v>62</v>
      </c>
      <c r="B63" s="100">
        <v>0</v>
      </c>
      <c r="C63" s="189">
        <v>65.8</v>
      </c>
      <c r="D63" s="100">
        <v>1</v>
      </c>
      <c r="E63" s="100">
        <v>1</v>
      </c>
    </row>
    <row r="64" spans="1:5" x14ac:dyDescent="0.25">
      <c r="A64" s="100">
        <v>63</v>
      </c>
      <c r="B64" s="100">
        <v>1</v>
      </c>
      <c r="C64" s="189">
        <v>76.099999999999994</v>
      </c>
      <c r="D64" s="100">
        <v>1</v>
      </c>
      <c r="E64" s="100">
        <v>0</v>
      </c>
    </row>
    <row r="65" spans="1:5" x14ac:dyDescent="0.25">
      <c r="A65" s="100">
        <v>64</v>
      </c>
      <c r="B65" s="100">
        <v>1</v>
      </c>
      <c r="C65" s="189">
        <v>58.9</v>
      </c>
      <c r="D65" s="100">
        <v>1</v>
      </c>
      <c r="E65" s="100">
        <v>1</v>
      </c>
    </row>
    <row r="66" spans="1:5" x14ac:dyDescent="0.25">
      <c r="A66" s="100">
        <v>65</v>
      </c>
      <c r="B66" s="100">
        <v>0</v>
      </c>
      <c r="C66" s="189">
        <v>80.599999999999994</v>
      </c>
      <c r="D66" s="100">
        <v>1</v>
      </c>
      <c r="E66" s="100">
        <v>1</v>
      </c>
    </row>
    <row r="67" spans="1:5" x14ac:dyDescent="0.25">
      <c r="A67" s="100">
        <v>66</v>
      </c>
      <c r="B67" s="100">
        <v>0</v>
      </c>
      <c r="C67" s="189">
        <v>39</v>
      </c>
      <c r="D67" s="100">
        <v>0</v>
      </c>
      <c r="E67" s="100">
        <v>0</v>
      </c>
    </row>
    <row r="68" spans="1:5" x14ac:dyDescent="0.25">
      <c r="A68" s="100">
        <v>67</v>
      </c>
      <c r="B68" s="100">
        <v>1</v>
      </c>
      <c r="C68" s="189">
        <v>78.8</v>
      </c>
      <c r="D68" s="100">
        <v>0</v>
      </c>
      <c r="E68" s="100">
        <v>0</v>
      </c>
    </row>
    <row r="69" spans="1:5" x14ac:dyDescent="0.25">
      <c r="A69" s="100">
        <v>68</v>
      </c>
      <c r="B69" s="100">
        <v>0</v>
      </c>
      <c r="C69" s="189">
        <v>70.2</v>
      </c>
      <c r="D69" s="100">
        <v>0</v>
      </c>
      <c r="E69" s="100">
        <v>0</v>
      </c>
    </row>
    <row r="70" spans="1:5" x14ac:dyDescent="0.25">
      <c r="A70" s="100">
        <v>69</v>
      </c>
      <c r="B70" s="100">
        <v>1</v>
      </c>
      <c r="C70" s="189">
        <v>64.400000000000006</v>
      </c>
      <c r="D70" s="100">
        <v>1</v>
      </c>
      <c r="E70" s="100">
        <v>0</v>
      </c>
    </row>
    <row r="71" spans="1:5" x14ac:dyDescent="0.25">
      <c r="A71" s="100">
        <v>70</v>
      </c>
      <c r="B71" s="100">
        <v>0</v>
      </c>
      <c r="C71" s="189">
        <v>78.7</v>
      </c>
      <c r="D71" s="100">
        <v>1</v>
      </c>
      <c r="E71" s="100">
        <v>1</v>
      </c>
    </row>
    <row r="72" spans="1:5" x14ac:dyDescent="0.25">
      <c r="A72" s="100">
        <v>71</v>
      </c>
      <c r="B72" s="100">
        <v>1</v>
      </c>
      <c r="C72" s="189">
        <v>49.5</v>
      </c>
      <c r="D72" s="100">
        <v>0</v>
      </c>
      <c r="E72" s="100">
        <v>1</v>
      </c>
    </row>
    <row r="73" spans="1:5" x14ac:dyDescent="0.25">
      <c r="A73" s="100">
        <v>72</v>
      </c>
      <c r="B73" s="100">
        <v>1</v>
      </c>
      <c r="C73" s="189">
        <v>56</v>
      </c>
      <c r="D73" s="100">
        <v>1</v>
      </c>
      <c r="E73" s="100">
        <v>1</v>
      </c>
    </row>
    <row r="74" spans="1:5" x14ac:dyDescent="0.25">
      <c r="A74" s="100">
        <v>73</v>
      </c>
      <c r="B74" s="100">
        <v>1</v>
      </c>
      <c r="C74" s="189">
        <v>50.3</v>
      </c>
      <c r="D74" s="100">
        <v>1</v>
      </c>
      <c r="E74" s="100">
        <v>1</v>
      </c>
    </row>
    <row r="75" spans="1:5" x14ac:dyDescent="0.25">
      <c r="A75" s="100">
        <v>74</v>
      </c>
      <c r="B75" s="100">
        <v>1</v>
      </c>
      <c r="C75" s="189">
        <v>41.4</v>
      </c>
      <c r="D75" s="100">
        <v>0</v>
      </c>
      <c r="E75" s="100">
        <v>1</v>
      </c>
    </row>
    <row r="76" spans="1:5" x14ac:dyDescent="0.25">
      <c r="A76" s="100">
        <v>75</v>
      </c>
      <c r="B76" s="100">
        <v>1</v>
      </c>
      <c r="C76" s="189">
        <v>56.5</v>
      </c>
      <c r="D76" s="100">
        <v>1</v>
      </c>
      <c r="E76" s="100">
        <v>1</v>
      </c>
    </row>
    <row r="77" spans="1:5" x14ac:dyDescent="0.25">
      <c r="A77" s="100">
        <v>76</v>
      </c>
      <c r="B77" s="100">
        <v>1</v>
      </c>
      <c r="C77" s="189">
        <v>61</v>
      </c>
      <c r="D77" s="100">
        <v>0</v>
      </c>
      <c r="E77" s="100">
        <v>0</v>
      </c>
    </row>
    <row r="78" spans="1:5" x14ac:dyDescent="0.25">
      <c r="A78" s="100">
        <v>77</v>
      </c>
      <c r="B78" s="100">
        <v>0</v>
      </c>
      <c r="C78" s="189">
        <v>58.3</v>
      </c>
      <c r="D78" s="100">
        <v>0</v>
      </c>
      <c r="E78" s="100">
        <v>1</v>
      </c>
    </row>
    <row r="79" spans="1:5" x14ac:dyDescent="0.25">
      <c r="A79" s="100">
        <v>78</v>
      </c>
      <c r="B79" s="100">
        <v>1</v>
      </c>
      <c r="C79" s="189">
        <v>87.6</v>
      </c>
      <c r="D79" s="100">
        <v>1</v>
      </c>
      <c r="E79" s="100">
        <v>0</v>
      </c>
    </row>
    <row r="80" spans="1:5" x14ac:dyDescent="0.25">
      <c r="A80" s="100">
        <v>79</v>
      </c>
      <c r="B80" s="100">
        <v>0</v>
      </c>
      <c r="C80" s="189">
        <v>46.4</v>
      </c>
      <c r="D80" s="100">
        <v>1</v>
      </c>
      <c r="E80" s="100">
        <v>0</v>
      </c>
    </row>
    <row r="81" spans="1:5" x14ac:dyDescent="0.25">
      <c r="A81" s="100">
        <v>80</v>
      </c>
      <c r="B81" s="100">
        <v>0</v>
      </c>
      <c r="C81" s="189">
        <v>68.7</v>
      </c>
      <c r="D81" s="100">
        <v>0</v>
      </c>
      <c r="E81" s="100">
        <v>1</v>
      </c>
    </row>
    <row r="82" spans="1:5" x14ac:dyDescent="0.25">
      <c r="A82" s="100">
        <v>81</v>
      </c>
      <c r="B82" s="100">
        <v>1</v>
      </c>
      <c r="C82" s="189">
        <v>61.7</v>
      </c>
      <c r="D82" s="100">
        <v>1</v>
      </c>
      <c r="E82" s="100">
        <v>1</v>
      </c>
    </row>
    <row r="83" spans="1:5" x14ac:dyDescent="0.25">
      <c r="A83" s="100">
        <v>82</v>
      </c>
      <c r="B83" s="100">
        <v>1</v>
      </c>
      <c r="C83" s="189">
        <v>74.099999999999994</v>
      </c>
      <c r="D83" s="100">
        <v>1</v>
      </c>
      <c r="E83" s="100">
        <v>0</v>
      </c>
    </row>
    <row r="84" spans="1:5" x14ac:dyDescent="0.25">
      <c r="A84" s="100">
        <v>83</v>
      </c>
      <c r="B84" s="100">
        <v>0</v>
      </c>
      <c r="C84" s="189">
        <v>75.8</v>
      </c>
      <c r="D84" s="100">
        <v>0</v>
      </c>
      <c r="E84" s="100">
        <v>1</v>
      </c>
    </row>
    <row r="85" spans="1:5" x14ac:dyDescent="0.25">
      <c r="A85" s="100">
        <v>84</v>
      </c>
      <c r="B85" s="100">
        <v>0</v>
      </c>
      <c r="C85" s="189">
        <v>46.3</v>
      </c>
      <c r="D85" s="100">
        <v>1</v>
      </c>
      <c r="E85" s="100">
        <v>0</v>
      </c>
    </row>
    <row r="86" spans="1:5" x14ac:dyDescent="0.25">
      <c r="A86" s="100">
        <v>85</v>
      </c>
      <c r="B86" s="100">
        <v>1</v>
      </c>
      <c r="C86" s="189">
        <v>36.4</v>
      </c>
      <c r="D86" s="100">
        <v>1</v>
      </c>
      <c r="E86" s="100">
        <v>0</v>
      </c>
    </row>
    <row r="87" spans="1:5" x14ac:dyDescent="0.25">
      <c r="A87" s="100">
        <v>86</v>
      </c>
      <c r="B87" s="100">
        <v>0</v>
      </c>
      <c r="C87" s="189">
        <v>43.2</v>
      </c>
      <c r="D87" s="100">
        <v>1</v>
      </c>
      <c r="E87" s="100">
        <v>0</v>
      </c>
    </row>
    <row r="88" spans="1:5" x14ac:dyDescent="0.25">
      <c r="A88" s="100">
        <v>87</v>
      </c>
      <c r="B88" s="100">
        <v>0</v>
      </c>
      <c r="C88" s="189">
        <v>48.5</v>
      </c>
      <c r="D88" s="100">
        <v>0</v>
      </c>
      <c r="E88" s="100">
        <v>1</v>
      </c>
    </row>
    <row r="89" spans="1:5" x14ac:dyDescent="0.25">
      <c r="A89" s="100">
        <v>88</v>
      </c>
      <c r="B89" s="100">
        <v>1</v>
      </c>
      <c r="C89" s="189">
        <v>97.7</v>
      </c>
      <c r="D89" s="100">
        <v>0</v>
      </c>
      <c r="E89" s="100">
        <v>1</v>
      </c>
    </row>
    <row r="90" spans="1:5" x14ac:dyDescent="0.25">
      <c r="A90" s="100">
        <v>89</v>
      </c>
      <c r="B90" s="100">
        <v>1</v>
      </c>
      <c r="C90" s="189">
        <v>76</v>
      </c>
      <c r="D90" s="100">
        <v>1</v>
      </c>
      <c r="E90" s="100">
        <v>1</v>
      </c>
    </row>
    <row r="91" spans="1:5" x14ac:dyDescent="0.25">
      <c r="A91" s="100">
        <v>90</v>
      </c>
      <c r="B91" s="100">
        <v>1</v>
      </c>
      <c r="C91" s="189">
        <v>45.5</v>
      </c>
      <c r="D91" s="100">
        <v>1</v>
      </c>
      <c r="E91" s="100">
        <v>1</v>
      </c>
    </row>
    <row r="92" spans="1:5" x14ac:dyDescent="0.25">
      <c r="A92" s="100">
        <v>91</v>
      </c>
      <c r="B92" s="100">
        <v>0</v>
      </c>
      <c r="C92" s="189">
        <v>80.7</v>
      </c>
      <c r="D92" s="100">
        <v>1</v>
      </c>
      <c r="E92" s="100">
        <v>1</v>
      </c>
    </row>
    <row r="93" spans="1:5" x14ac:dyDescent="0.25">
      <c r="A93" s="100">
        <v>92</v>
      </c>
      <c r="B93" s="100">
        <v>1</v>
      </c>
      <c r="C93" s="189">
        <v>58.5</v>
      </c>
      <c r="D93" s="100">
        <v>1</v>
      </c>
      <c r="E93" s="100">
        <v>0</v>
      </c>
    </row>
    <row r="94" spans="1:5" x14ac:dyDescent="0.25">
      <c r="A94" s="100">
        <v>93</v>
      </c>
      <c r="B94" s="100">
        <v>1</v>
      </c>
      <c r="C94" s="189">
        <v>50.2</v>
      </c>
      <c r="D94" s="100">
        <v>1</v>
      </c>
      <c r="E94" s="100">
        <v>0</v>
      </c>
    </row>
    <row r="95" spans="1:5" x14ac:dyDescent="0.25">
      <c r="A95" s="100">
        <v>94</v>
      </c>
      <c r="B95" s="100">
        <v>0</v>
      </c>
      <c r="C95" s="189">
        <v>61.7</v>
      </c>
      <c r="D95" s="100">
        <v>1</v>
      </c>
      <c r="E95" s="100">
        <v>1</v>
      </c>
    </row>
    <row r="96" spans="1:5" x14ac:dyDescent="0.25">
      <c r="A96" s="100">
        <v>95</v>
      </c>
      <c r="B96" s="100">
        <v>0</v>
      </c>
      <c r="C96" s="189">
        <v>55.4</v>
      </c>
      <c r="D96" s="100">
        <v>0</v>
      </c>
      <c r="E96" s="100">
        <v>1</v>
      </c>
    </row>
    <row r="97" spans="1:5" x14ac:dyDescent="0.25">
      <c r="A97" s="100">
        <v>96</v>
      </c>
      <c r="B97" s="100">
        <v>0</v>
      </c>
      <c r="C97" s="189">
        <v>41.9</v>
      </c>
      <c r="D97" s="100">
        <v>0</v>
      </c>
      <c r="E97" s="100">
        <v>0</v>
      </c>
    </row>
    <row r="98" spans="1:5" x14ac:dyDescent="0.25">
      <c r="A98" s="100">
        <v>97</v>
      </c>
      <c r="B98" s="100">
        <v>1</v>
      </c>
      <c r="C98" s="189">
        <v>70.099999999999994</v>
      </c>
      <c r="D98" s="100">
        <v>1</v>
      </c>
      <c r="E98" s="100">
        <v>1</v>
      </c>
    </row>
    <row r="99" spans="1:5" x14ac:dyDescent="0.25">
      <c r="A99" s="100">
        <v>98</v>
      </c>
      <c r="B99" s="100">
        <v>0</v>
      </c>
      <c r="C99" s="189">
        <v>70</v>
      </c>
      <c r="D99" s="100">
        <v>1</v>
      </c>
      <c r="E99" s="100">
        <v>1</v>
      </c>
    </row>
    <row r="100" spans="1:5" x14ac:dyDescent="0.25">
      <c r="A100" s="100">
        <v>99</v>
      </c>
      <c r="B100" s="100">
        <v>0</v>
      </c>
      <c r="C100" s="189">
        <v>45</v>
      </c>
      <c r="D100" s="100">
        <v>0</v>
      </c>
      <c r="E100" s="100">
        <v>1</v>
      </c>
    </row>
    <row r="101" spans="1:5" x14ac:dyDescent="0.25">
      <c r="A101" s="100">
        <v>100</v>
      </c>
      <c r="B101" s="100">
        <v>0</v>
      </c>
      <c r="C101" s="189">
        <v>81</v>
      </c>
      <c r="D101" s="100">
        <v>0</v>
      </c>
      <c r="E101" s="100">
        <v>1</v>
      </c>
    </row>
    <row r="102" spans="1:5" x14ac:dyDescent="0.25">
      <c r="A102" s="100">
        <v>101</v>
      </c>
      <c r="B102" s="100">
        <v>1</v>
      </c>
      <c r="C102" s="189">
        <v>42.8</v>
      </c>
      <c r="D102" s="100">
        <v>0</v>
      </c>
      <c r="E102" s="100">
        <v>1</v>
      </c>
    </row>
    <row r="103" spans="1:5" x14ac:dyDescent="0.25">
      <c r="A103" s="100">
        <v>102</v>
      </c>
      <c r="B103" s="100">
        <v>1</v>
      </c>
      <c r="C103" s="189">
        <v>49.6</v>
      </c>
      <c r="D103" s="100">
        <v>0</v>
      </c>
      <c r="E103" s="100">
        <v>0</v>
      </c>
    </row>
    <row r="104" spans="1:5" x14ac:dyDescent="0.25">
      <c r="A104" s="100">
        <v>103</v>
      </c>
      <c r="B104" s="100">
        <v>0</v>
      </c>
      <c r="C104" s="189">
        <v>70.400000000000006</v>
      </c>
      <c r="D104" s="100">
        <v>1</v>
      </c>
      <c r="E104" s="100">
        <v>0</v>
      </c>
    </row>
    <row r="105" spans="1:5" x14ac:dyDescent="0.25">
      <c r="A105" s="100">
        <v>104</v>
      </c>
      <c r="B105" s="100">
        <v>1</v>
      </c>
      <c r="C105" s="189">
        <v>28.6</v>
      </c>
      <c r="D105" s="100">
        <v>1</v>
      </c>
      <c r="E105" s="100">
        <v>0</v>
      </c>
    </row>
    <row r="106" spans="1:5" x14ac:dyDescent="0.25">
      <c r="A106" s="100">
        <v>105</v>
      </c>
      <c r="B106" s="100">
        <v>1</v>
      </c>
      <c r="C106" s="189">
        <v>68.8</v>
      </c>
      <c r="D106" s="100">
        <v>1</v>
      </c>
      <c r="E106" s="100">
        <v>1</v>
      </c>
    </row>
    <row r="107" spans="1:5" x14ac:dyDescent="0.25">
      <c r="A107" s="100">
        <v>106</v>
      </c>
      <c r="B107" s="100">
        <v>0</v>
      </c>
      <c r="C107" s="189">
        <v>36.6</v>
      </c>
      <c r="D107" s="100">
        <v>0</v>
      </c>
      <c r="E107" s="100">
        <v>1</v>
      </c>
    </row>
    <row r="108" spans="1:5" x14ac:dyDescent="0.25">
      <c r="A108" s="100">
        <v>107</v>
      </c>
      <c r="B108" s="100">
        <v>1</v>
      </c>
      <c r="C108" s="189">
        <v>77.400000000000006</v>
      </c>
      <c r="D108" s="100">
        <v>0</v>
      </c>
      <c r="E108" s="100">
        <v>0</v>
      </c>
    </row>
    <row r="109" spans="1:5" x14ac:dyDescent="0.25">
      <c r="A109" s="100">
        <v>108</v>
      </c>
      <c r="B109" s="100">
        <v>0</v>
      </c>
      <c r="C109" s="189">
        <v>58.2</v>
      </c>
      <c r="D109" s="100">
        <v>0</v>
      </c>
      <c r="E109" s="100">
        <v>0</v>
      </c>
    </row>
    <row r="110" spans="1:5" x14ac:dyDescent="0.25">
      <c r="A110" s="100">
        <v>109</v>
      </c>
      <c r="B110" s="100">
        <v>1</v>
      </c>
      <c r="C110" s="189">
        <v>62.6</v>
      </c>
      <c r="D110" s="100">
        <v>0</v>
      </c>
      <c r="E110" s="100">
        <v>1</v>
      </c>
    </row>
    <row r="111" spans="1:5" x14ac:dyDescent="0.25">
      <c r="A111" s="100">
        <v>110</v>
      </c>
      <c r="B111" s="100">
        <v>0</v>
      </c>
      <c r="C111" s="189">
        <v>61.2</v>
      </c>
      <c r="D111" s="100">
        <v>0</v>
      </c>
      <c r="E111" s="100">
        <v>1</v>
      </c>
    </row>
    <row r="112" spans="1:5" x14ac:dyDescent="0.25">
      <c r="A112" s="100">
        <v>111</v>
      </c>
      <c r="B112" s="100">
        <v>0</v>
      </c>
      <c r="C112" s="189">
        <v>36.299999999999997</v>
      </c>
      <c r="D112" s="100">
        <v>0</v>
      </c>
      <c r="E112" s="100">
        <v>0</v>
      </c>
    </row>
    <row r="113" spans="1:5" x14ac:dyDescent="0.25">
      <c r="A113" s="100">
        <v>112</v>
      </c>
      <c r="B113" s="100">
        <v>0</v>
      </c>
      <c r="C113" s="189">
        <v>79.599999999999994</v>
      </c>
      <c r="D113" s="100">
        <v>1</v>
      </c>
      <c r="E113" s="100">
        <v>1</v>
      </c>
    </row>
    <row r="114" spans="1:5" x14ac:dyDescent="0.25">
      <c r="A114" s="100">
        <v>113</v>
      </c>
      <c r="B114" s="100">
        <v>0</v>
      </c>
      <c r="C114" s="189">
        <v>41</v>
      </c>
      <c r="D114" s="100">
        <v>0</v>
      </c>
      <c r="E114" s="100">
        <v>1</v>
      </c>
    </row>
    <row r="115" spans="1:5" x14ac:dyDescent="0.25">
      <c r="A115" s="100">
        <v>114</v>
      </c>
      <c r="B115" s="100">
        <v>1</v>
      </c>
      <c r="C115" s="189">
        <v>53</v>
      </c>
      <c r="D115" s="100">
        <v>1</v>
      </c>
      <c r="E115" s="100">
        <v>1</v>
      </c>
    </row>
    <row r="116" spans="1:5" x14ac:dyDescent="0.25">
      <c r="A116" s="100">
        <v>115</v>
      </c>
      <c r="B116" s="100">
        <v>0</v>
      </c>
      <c r="C116" s="189">
        <v>67.7</v>
      </c>
      <c r="D116" s="100">
        <v>0</v>
      </c>
      <c r="E116" s="100">
        <v>1</v>
      </c>
    </row>
    <row r="117" spans="1:5" x14ac:dyDescent="0.25">
      <c r="A117" s="100">
        <v>116</v>
      </c>
      <c r="B117" s="100">
        <v>1</v>
      </c>
      <c r="C117" s="189">
        <v>57.5</v>
      </c>
      <c r="D117" s="100">
        <v>1</v>
      </c>
      <c r="E117" s="100">
        <v>1</v>
      </c>
    </row>
    <row r="118" spans="1:5" x14ac:dyDescent="0.25">
      <c r="A118" s="100">
        <v>117</v>
      </c>
      <c r="B118" s="100">
        <v>0</v>
      </c>
      <c r="C118" s="189">
        <v>58.8</v>
      </c>
      <c r="D118" s="100">
        <v>1</v>
      </c>
      <c r="E118" s="100">
        <v>1</v>
      </c>
    </row>
    <row r="119" spans="1:5" x14ac:dyDescent="0.25">
      <c r="A119" s="100">
        <v>118</v>
      </c>
      <c r="B119" s="100">
        <v>1</v>
      </c>
      <c r="C119" s="189">
        <v>53.1</v>
      </c>
      <c r="D119" s="100">
        <v>1</v>
      </c>
      <c r="E119" s="100">
        <v>0</v>
      </c>
    </row>
    <row r="120" spans="1:5" x14ac:dyDescent="0.25">
      <c r="A120" s="100">
        <v>119</v>
      </c>
      <c r="B120" s="100">
        <v>1</v>
      </c>
      <c r="C120" s="189">
        <v>63.3</v>
      </c>
      <c r="D120" s="100">
        <v>1</v>
      </c>
      <c r="E120" s="100">
        <v>0</v>
      </c>
    </row>
    <row r="121" spans="1:5" x14ac:dyDescent="0.25">
      <c r="A121" s="100">
        <v>120</v>
      </c>
      <c r="B121" s="100">
        <v>0</v>
      </c>
      <c r="C121" s="189">
        <v>75.400000000000006</v>
      </c>
      <c r="D121" s="100">
        <v>1</v>
      </c>
      <c r="E121" s="100">
        <v>1</v>
      </c>
    </row>
    <row r="122" spans="1:5" x14ac:dyDescent="0.25">
      <c r="A122" s="100">
        <v>121</v>
      </c>
      <c r="B122" s="100">
        <v>0</v>
      </c>
      <c r="C122" s="189">
        <v>64.400000000000006</v>
      </c>
      <c r="D122" s="100">
        <v>0</v>
      </c>
      <c r="E122" s="100">
        <v>1</v>
      </c>
    </row>
    <row r="123" spans="1:5" x14ac:dyDescent="0.25">
      <c r="A123" s="100">
        <v>122</v>
      </c>
      <c r="B123" s="100">
        <v>1</v>
      </c>
      <c r="C123" s="189">
        <v>83.2</v>
      </c>
      <c r="D123" s="100">
        <v>0</v>
      </c>
      <c r="E123" s="100">
        <v>0</v>
      </c>
    </row>
    <row r="124" spans="1:5" x14ac:dyDescent="0.25">
      <c r="A124" s="100">
        <v>123</v>
      </c>
      <c r="B124" s="100">
        <v>1</v>
      </c>
      <c r="C124" s="189">
        <v>69.400000000000006</v>
      </c>
      <c r="D124" s="100">
        <v>1</v>
      </c>
      <c r="E124" s="100">
        <v>0</v>
      </c>
    </row>
    <row r="125" spans="1:5" x14ac:dyDescent="0.25">
      <c r="A125" s="100">
        <v>124</v>
      </c>
      <c r="B125" s="100">
        <v>1</v>
      </c>
      <c r="C125" s="189">
        <v>60.6</v>
      </c>
      <c r="D125" s="100">
        <v>1</v>
      </c>
      <c r="E125" s="100">
        <v>1</v>
      </c>
    </row>
    <row r="126" spans="1:5" x14ac:dyDescent="0.25">
      <c r="A126" s="100">
        <v>125</v>
      </c>
      <c r="B126" s="100">
        <v>0</v>
      </c>
      <c r="C126" s="189">
        <v>40</v>
      </c>
      <c r="D126" s="100">
        <v>1</v>
      </c>
      <c r="E126" s="100">
        <v>1</v>
      </c>
    </row>
    <row r="127" spans="1:5" x14ac:dyDescent="0.25">
      <c r="A127" s="100">
        <v>126</v>
      </c>
      <c r="B127" s="100">
        <v>1</v>
      </c>
      <c r="C127" s="189">
        <v>63.6</v>
      </c>
      <c r="D127" s="100">
        <v>1</v>
      </c>
      <c r="E127" s="100">
        <v>1</v>
      </c>
    </row>
    <row r="128" spans="1:5" x14ac:dyDescent="0.25">
      <c r="A128" s="100">
        <v>127</v>
      </c>
      <c r="B128" s="100">
        <v>0</v>
      </c>
      <c r="C128" s="189">
        <v>76.099999999999994</v>
      </c>
      <c r="D128" s="100">
        <v>0</v>
      </c>
      <c r="E128" s="100">
        <v>1</v>
      </c>
    </row>
    <row r="129" spans="1:5" x14ac:dyDescent="0.25">
      <c r="A129" s="100">
        <v>128</v>
      </c>
      <c r="B129" s="100">
        <v>0</v>
      </c>
      <c r="C129" s="189">
        <v>64</v>
      </c>
      <c r="D129" s="100">
        <v>0</v>
      </c>
      <c r="E129" s="100">
        <v>1</v>
      </c>
    </row>
    <row r="130" spans="1:5" x14ac:dyDescent="0.25">
      <c r="A130" s="100">
        <v>129</v>
      </c>
      <c r="B130" s="100">
        <v>1</v>
      </c>
      <c r="C130" s="189">
        <v>62</v>
      </c>
      <c r="D130" s="100">
        <v>0</v>
      </c>
      <c r="E130" s="100">
        <v>0</v>
      </c>
    </row>
    <row r="131" spans="1:5" x14ac:dyDescent="0.25">
      <c r="A131" s="100">
        <v>130</v>
      </c>
      <c r="B131" s="100">
        <v>0</v>
      </c>
      <c r="C131" s="189">
        <v>43.8</v>
      </c>
      <c r="D131" s="100">
        <v>0</v>
      </c>
      <c r="E131" s="100">
        <v>0</v>
      </c>
    </row>
    <row r="132" spans="1:5" x14ac:dyDescent="0.25">
      <c r="A132" s="100">
        <v>131</v>
      </c>
      <c r="B132" s="100">
        <v>0</v>
      </c>
      <c r="C132" s="189">
        <v>45</v>
      </c>
      <c r="D132" s="100">
        <v>1</v>
      </c>
      <c r="E132" s="100">
        <v>1</v>
      </c>
    </row>
    <row r="133" spans="1:5" x14ac:dyDescent="0.25">
      <c r="A133" s="100">
        <v>132</v>
      </c>
      <c r="B133" s="100">
        <v>0</v>
      </c>
      <c r="C133" s="189">
        <v>40.1</v>
      </c>
      <c r="D133" s="100">
        <v>0</v>
      </c>
      <c r="E133" s="100">
        <v>0</v>
      </c>
    </row>
    <row r="134" spans="1:5" x14ac:dyDescent="0.25">
      <c r="A134" s="100">
        <v>133</v>
      </c>
      <c r="B134" s="100">
        <v>1</v>
      </c>
      <c r="C134" s="189">
        <v>54.6</v>
      </c>
      <c r="D134" s="100">
        <v>1</v>
      </c>
      <c r="E134" s="100">
        <v>0</v>
      </c>
    </row>
    <row r="135" spans="1:5" x14ac:dyDescent="0.25">
      <c r="A135" s="100">
        <v>134</v>
      </c>
      <c r="B135" s="100">
        <v>0</v>
      </c>
      <c r="C135" s="189">
        <v>67.599999999999994</v>
      </c>
      <c r="D135" s="100">
        <v>0</v>
      </c>
      <c r="E135" s="100">
        <v>1</v>
      </c>
    </row>
    <row r="136" spans="1:5" x14ac:dyDescent="0.25">
      <c r="A136" s="100">
        <v>135</v>
      </c>
      <c r="B136" s="100">
        <v>1</v>
      </c>
      <c r="C136" s="189">
        <v>62</v>
      </c>
      <c r="D136" s="100">
        <v>1</v>
      </c>
      <c r="E136" s="100">
        <v>0</v>
      </c>
    </row>
    <row r="137" spans="1:5" x14ac:dyDescent="0.25">
      <c r="A137" s="100">
        <v>136</v>
      </c>
      <c r="B137" s="100">
        <v>1</v>
      </c>
      <c r="C137" s="189">
        <v>59</v>
      </c>
      <c r="D137" s="100">
        <v>1</v>
      </c>
      <c r="E137" s="100">
        <v>0</v>
      </c>
    </row>
    <row r="138" spans="1:5" x14ac:dyDescent="0.25">
      <c r="A138" s="100">
        <v>137</v>
      </c>
      <c r="B138" s="100">
        <v>0</v>
      </c>
      <c r="C138" s="189">
        <v>44.5</v>
      </c>
      <c r="D138" s="100">
        <v>1</v>
      </c>
      <c r="E138" s="100">
        <v>1</v>
      </c>
    </row>
    <row r="139" spans="1:5" x14ac:dyDescent="0.25">
      <c r="A139" s="100">
        <v>138</v>
      </c>
      <c r="B139" s="100">
        <v>0</v>
      </c>
      <c r="C139" s="189">
        <v>61.1</v>
      </c>
      <c r="D139" s="100">
        <v>0</v>
      </c>
      <c r="E139" s="100">
        <v>0</v>
      </c>
    </row>
    <row r="140" spans="1:5" x14ac:dyDescent="0.25">
      <c r="A140" s="100">
        <v>139</v>
      </c>
      <c r="B140" s="100">
        <v>0</v>
      </c>
      <c r="C140" s="189">
        <v>44.5</v>
      </c>
      <c r="D140" s="100">
        <v>1</v>
      </c>
      <c r="E140" s="100">
        <v>0</v>
      </c>
    </row>
    <row r="141" spans="1:5" x14ac:dyDescent="0.25">
      <c r="A141" s="100">
        <v>140</v>
      </c>
      <c r="B141" s="100">
        <v>1</v>
      </c>
      <c r="C141" s="189">
        <v>60.8</v>
      </c>
      <c r="D141" s="100">
        <v>1</v>
      </c>
      <c r="E141" s="100">
        <v>1</v>
      </c>
    </row>
    <row r="142" spans="1:5" x14ac:dyDescent="0.25">
      <c r="A142" s="100">
        <v>141</v>
      </c>
      <c r="B142" s="100">
        <v>0</v>
      </c>
      <c r="C142" s="189">
        <v>45</v>
      </c>
      <c r="D142" s="100">
        <v>0</v>
      </c>
      <c r="E142" s="100">
        <v>1</v>
      </c>
    </row>
    <row r="143" spans="1:5" x14ac:dyDescent="0.25">
      <c r="A143" s="100">
        <v>142</v>
      </c>
      <c r="B143" s="100">
        <v>0</v>
      </c>
      <c r="C143" s="189">
        <v>48.3</v>
      </c>
      <c r="D143" s="100">
        <v>1</v>
      </c>
      <c r="E143" s="100">
        <v>1</v>
      </c>
    </row>
    <row r="144" spans="1:5" x14ac:dyDescent="0.25">
      <c r="A144" s="100">
        <v>143</v>
      </c>
      <c r="B144" s="100">
        <v>1</v>
      </c>
      <c r="C144" s="189">
        <v>60.2</v>
      </c>
      <c r="D144" s="100">
        <v>0</v>
      </c>
      <c r="E144" s="100">
        <v>1</v>
      </c>
    </row>
    <row r="145" spans="1:5" x14ac:dyDescent="0.25">
      <c r="A145" s="100">
        <v>144</v>
      </c>
      <c r="B145" s="100">
        <v>0</v>
      </c>
      <c r="C145" s="189">
        <v>29.6</v>
      </c>
      <c r="D145" s="100">
        <v>1</v>
      </c>
      <c r="E145" s="100">
        <v>0</v>
      </c>
    </row>
    <row r="146" spans="1:5" x14ac:dyDescent="0.25">
      <c r="A146" s="100">
        <v>145</v>
      </c>
      <c r="B146" s="100">
        <v>1</v>
      </c>
      <c r="C146" s="189">
        <v>41.9</v>
      </c>
      <c r="D146" s="100">
        <v>0</v>
      </c>
      <c r="E146" s="100">
        <v>1</v>
      </c>
    </row>
    <row r="147" spans="1:5" x14ac:dyDescent="0.25">
      <c r="A147" s="100">
        <v>146</v>
      </c>
      <c r="B147" s="100">
        <v>1</v>
      </c>
      <c r="C147" s="189">
        <v>62</v>
      </c>
      <c r="D147" s="100">
        <v>0</v>
      </c>
      <c r="E147" s="100">
        <v>0</v>
      </c>
    </row>
    <row r="148" spans="1:5" x14ac:dyDescent="0.25">
      <c r="A148" s="100">
        <v>147</v>
      </c>
      <c r="B148" s="100">
        <v>0</v>
      </c>
      <c r="C148" s="189">
        <v>46</v>
      </c>
      <c r="D148" s="100">
        <v>0</v>
      </c>
      <c r="E148" s="100">
        <v>0</v>
      </c>
    </row>
    <row r="149" spans="1:5" x14ac:dyDescent="0.25">
      <c r="A149" s="100">
        <v>148</v>
      </c>
      <c r="B149" s="100">
        <v>0</v>
      </c>
      <c r="C149" s="189">
        <v>40</v>
      </c>
      <c r="D149" s="100">
        <v>0</v>
      </c>
      <c r="E149" s="100">
        <v>1</v>
      </c>
    </row>
    <row r="150" spans="1:5" x14ac:dyDescent="0.25">
      <c r="A150" s="100">
        <v>149</v>
      </c>
      <c r="B150" s="100">
        <v>0</v>
      </c>
      <c r="C150" s="189">
        <v>67.8</v>
      </c>
      <c r="D150" s="100">
        <v>0</v>
      </c>
      <c r="E150" s="100">
        <v>0</v>
      </c>
    </row>
    <row r="151" spans="1:5" x14ac:dyDescent="0.25">
      <c r="A151" s="100">
        <v>150</v>
      </c>
      <c r="B151" s="100">
        <v>1</v>
      </c>
      <c r="C151" s="189">
        <v>68</v>
      </c>
      <c r="D151" s="100">
        <v>1</v>
      </c>
      <c r="E151" s="100">
        <v>1</v>
      </c>
    </row>
    <row r="152" spans="1:5" x14ac:dyDescent="0.25">
      <c r="A152" s="100">
        <v>151</v>
      </c>
      <c r="B152" s="100">
        <v>0</v>
      </c>
      <c r="C152" s="189">
        <v>52.1</v>
      </c>
      <c r="D152" s="100">
        <v>1</v>
      </c>
      <c r="E152" s="100">
        <v>1</v>
      </c>
    </row>
    <row r="153" spans="1:5" x14ac:dyDescent="0.25">
      <c r="A153" s="100">
        <v>152</v>
      </c>
      <c r="B153" s="100">
        <v>0</v>
      </c>
      <c r="C153" s="189">
        <v>58.6</v>
      </c>
      <c r="D153" s="100">
        <v>0</v>
      </c>
      <c r="E153" s="100">
        <v>1</v>
      </c>
    </row>
    <row r="154" spans="1:5" x14ac:dyDescent="0.25">
      <c r="A154" s="100">
        <v>153</v>
      </c>
      <c r="B154" s="100">
        <v>1</v>
      </c>
      <c r="C154" s="189">
        <v>83.5</v>
      </c>
      <c r="D154" s="100">
        <v>0</v>
      </c>
      <c r="E154" s="100">
        <v>0</v>
      </c>
    </row>
    <row r="155" spans="1:5" x14ac:dyDescent="0.25">
      <c r="A155" s="100">
        <v>154</v>
      </c>
      <c r="B155" s="100">
        <v>1</v>
      </c>
      <c r="C155" s="189">
        <v>57.9</v>
      </c>
      <c r="D155" s="100">
        <v>1</v>
      </c>
      <c r="E155" s="100">
        <v>1</v>
      </c>
    </row>
    <row r="156" spans="1:5" x14ac:dyDescent="0.25">
      <c r="A156" s="100">
        <v>155</v>
      </c>
      <c r="B156" s="100">
        <v>1</v>
      </c>
      <c r="C156" s="189">
        <v>84.4</v>
      </c>
      <c r="D156" s="100">
        <v>0</v>
      </c>
      <c r="E156" s="100">
        <v>0</v>
      </c>
    </row>
    <row r="157" spans="1:5" x14ac:dyDescent="0.25">
      <c r="A157" s="100">
        <v>156</v>
      </c>
      <c r="B157" s="100">
        <v>0</v>
      </c>
      <c r="C157" s="189">
        <v>69.3</v>
      </c>
      <c r="D157" s="100">
        <v>1</v>
      </c>
      <c r="E157" s="100">
        <v>0</v>
      </c>
    </row>
    <row r="158" spans="1:5" x14ac:dyDescent="0.25">
      <c r="A158" s="100">
        <v>157</v>
      </c>
      <c r="B158" s="100">
        <v>0</v>
      </c>
      <c r="C158" s="189">
        <v>53.7</v>
      </c>
      <c r="D158" s="100">
        <v>1</v>
      </c>
      <c r="E158" s="100">
        <v>0</v>
      </c>
    </row>
    <row r="159" spans="1:5" x14ac:dyDescent="0.25">
      <c r="A159" s="100">
        <v>158</v>
      </c>
      <c r="B159" s="100">
        <v>1</v>
      </c>
      <c r="C159" s="189">
        <v>64.2</v>
      </c>
      <c r="D159" s="100">
        <v>1</v>
      </c>
      <c r="E159" s="100">
        <v>1</v>
      </c>
    </row>
    <row r="160" spans="1:5" x14ac:dyDescent="0.25">
      <c r="A160" s="100">
        <v>159</v>
      </c>
      <c r="B160" s="100">
        <v>1</v>
      </c>
      <c r="C160" s="189">
        <v>48.5</v>
      </c>
      <c r="D160" s="100">
        <v>1</v>
      </c>
      <c r="E160" s="100">
        <v>1</v>
      </c>
    </row>
    <row r="161" spans="1:5" x14ac:dyDescent="0.25">
      <c r="A161" s="100">
        <v>160</v>
      </c>
      <c r="B161" s="100">
        <v>1</v>
      </c>
      <c r="C161" s="189">
        <v>65.7</v>
      </c>
      <c r="D161" s="100">
        <v>1</v>
      </c>
      <c r="E161" s="100">
        <v>0</v>
      </c>
    </row>
    <row r="162" spans="1:5" x14ac:dyDescent="0.25">
      <c r="A162" s="100">
        <v>161</v>
      </c>
      <c r="B162" s="100">
        <v>1</v>
      </c>
      <c r="C162" s="189">
        <v>70.2</v>
      </c>
      <c r="D162" s="100">
        <v>0</v>
      </c>
      <c r="E162" s="100">
        <v>1</v>
      </c>
    </row>
    <row r="163" spans="1:5" x14ac:dyDescent="0.25">
      <c r="A163" s="100">
        <v>162</v>
      </c>
      <c r="B163" s="100">
        <v>0</v>
      </c>
      <c r="C163" s="189">
        <v>72.7</v>
      </c>
      <c r="D163" s="100">
        <v>0</v>
      </c>
      <c r="E163" s="100">
        <v>1</v>
      </c>
    </row>
    <row r="164" spans="1:5" x14ac:dyDescent="0.25">
      <c r="A164" s="100">
        <v>163</v>
      </c>
      <c r="B164" s="100">
        <v>0</v>
      </c>
      <c r="C164" s="189">
        <v>48.7</v>
      </c>
      <c r="D164" s="100">
        <v>0</v>
      </c>
      <c r="E164" s="100">
        <v>1</v>
      </c>
    </row>
    <row r="165" spans="1:5" x14ac:dyDescent="0.25">
      <c r="A165" s="100">
        <v>164</v>
      </c>
      <c r="B165" s="100">
        <v>0</v>
      </c>
      <c r="C165" s="189">
        <v>55.2</v>
      </c>
      <c r="D165" s="100">
        <v>0</v>
      </c>
      <c r="E165" s="100">
        <v>1</v>
      </c>
    </row>
    <row r="166" spans="1:5" x14ac:dyDescent="0.25">
      <c r="A166" s="100">
        <v>165</v>
      </c>
      <c r="B166" s="100">
        <v>0</v>
      </c>
      <c r="C166" s="189">
        <v>38.200000000000003</v>
      </c>
      <c r="D166" s="100">
        <v>0</v>
      </c>
      <c r="E166" s="100">
        <v>1</v>
      </c>
    </row>
    <row r="167" spans="1:5" x14ac:dyDescent="0.25">
      <c r="A167" s="100">
        <v>166</v>
      </c>
      <c r="B167" s="100">
        <v>1</v>
      </c>
      <c r="C167" s="189">
        <v>80.7</v>
      </c>
      <c r="D167" s="100">
        <v>1</v>
      </c>
      <c r="E167" s="100">
        <v>1</v>
      </c>
    </row>
    <row r="168" spans="1:5" x14ac:dyDescent="0.25">
      <c r="A168" s="100">
        <v>167</v>
      </c>
      <c r="B168" s="100">
        <v>0</v>
      </c>
      <c r="C168" s="189">
        <v>84.3</v>
      </c>
      <c r="D168" s="100">
        <v>1</v>
      </c>
      <c r="E168" s="100">
        <v>0</v>
      </c>
    </row>
    <row r="169" spans="1:5" x14ac:dyDescent="0.25">
      <c r="A169" s="100">
        <v>168</v>
      </c>
      <c r="B169" s="100">
        <v>1</v>
      </c>
      <c r="C169" s="189">
        <v>81.900000000000006</v>
      </c>
      <c r="D169" s="100">
        <v>0</v>
      </c>
      <c r="E169" s="100">
        <v>0</v>
      </c>
    </row>
    <row r="170" spans="1:5" x14ac:dyDescent="0.25">
      <c r="A170" s="100">
        <v>169</v>
      </c>
      <c r="B170" s="100">
        <v>0</v>
      </c>
      <c r="C170" s="189">
        <v>56</v>
      </c>
      <c r="D170" s="100">
        <v>0</v>
      </c>
      <c r="E170" s="100">
        <v>0</v>
      </c>
    </row>
    <row r="171" spans="1:5" x14ac:dyDescent="0.25">
      <c r="A171" s="100">
        <v>170</v>
      </c>
      <c r="B171" s="100">
        <v>1</v>
      </c>
      <c r="C171" s="189">
        <v>76.099999999999994</v>
      </c>
      <c r="D171" s="100">
        <v>1</v>
      </c>
      <c r="E171" s="100">
        <v>1</v>
      </c>
    </row>
    <row r="172" spans="1:5" x14ac:dyDescent="0.25">
      <c r="A172" s="100">
        <v>171</v>
      </c>
      <c r="B172" s="100">
        <v>0</v>
      </c>
      <c r="C172" s="189">
        <v>73.599999999999994</v>
      </c>
      <c r="D172" s="100">
        <v>1</v>
      </c>
      <c r="E172" s="100">
        <v>0</v>
      </c>
    </row>
    <row r="173" spans="1:5" x14ac:dyDescent="0.25">
      <c r="A173" s="100">
        <v>172</v>
      </c>
      <c r="B173" s="100">
        <v>0</v>
      </c>
      <c r="C173" s="189">
        <v>44.8</v>
      </c>
      <c r="D173" s="100">
        <v>0</v>
      </c>
      <c r="E173" s="100">
        <v>0</v>
      </c>
    </row>
    <row r="174" spans="1:5" x14ac:dyDescent="0.25">
      <c r="A174" s="100">
        <v>173</v>
      </c>
      <c r="B174" s="100">
        <v>0</v>
      </c>
      <c r="C174" s="189">
        <v>77.900000000000006</v>
      </c>
      <c r="D174" s="100">
        <v>1</v>
      </c>
      <c r="E174" s="100">
        <v>0</v>
      </c>
    </row>
    <row r="175" spans="1:5" x14ac:dyDescent="0.25">
      <c r="A175" s="100">
        <v>174</v>
      </c>
      <c r="B175" s="100">
        <v>0</v>
      </c>
      <c r="C175" s="189">
        <v>63.6</v>
      </c>
      <c r="D175" s="100">
        <v>1</v>
      </c>
      <c r="E175" s="100">
        <v>1</v>
      </c>
    </row>
    <row r="176" spans="1:5" x14ac:dyDescent="0.25">
      <c r="A176" s="100">
        <v>175</v>
      </c>
      <c r="B176" s="100">
        <v>0</v>
      </c>
      <c r="C176" s="189">
        <v>95.6</v>
      </c>
      <c r="D176" s="100">
        <v>1</v>
      </c>
      <c r="E176" s="100">
        <v>1</v>
      </c>
    </row>
    <row r="177" spans="1:5" x14ac:dyDescent="0.25">
      <c r="A177" s="100">
        <v>176</v>
      </c>
      <c r="B177" s="100">
        <v>0</v>
      </c>
      <c r="C177" s="189">
        <v>69.400000000000006</v>
      </c>
      <c r="D177" s="100">
        <v>0</v>
      </c>
      <c r="E177" s="100">
        <v>0</v>
      </c>
    </row>
    <row r="178" spans="1:5" x14ac:dyDescent="0.25">
      <c r="A178" s="100">
        <v>177</v>
      </c>
      <c r="B178" s="100">
        <v>1</v>
      </c>
      <c r="C178" s="189">
        <v>62.8</v>
      </c>
      <c r="D178" s="100">
        <v>1</v>
      </c>
      <c r="E178" s="100">
        <v>1</v>
      </c>
    </row>
    <row r="179" spans="1:5" x14ac:dyDescent="0.25">
      <c r="A179" s="100">
        <v>178</v>
      </c>
      <c r="B179" s="100">
        <v>1</v>
      </c>
      <c r="C179" s="189">
        <v>61.7</v>
      </c>
      <c r="D179" s="100">
        <v>1</v>
      </c>
      <c r="E179" s="100">
        <v>1</v>
      </c>
    </row>
    <row r="180" spans="1:5" x14ac:dyDescent="0.25">
      <c r="A180" s="100">
        <v>179</v>
      </c>
      <c r="B180" s="100">
        <v>0</v>
      </c>
      <c r="C180" s="189">
        <v>64</v>
      </c>
      <c r="D180" s="100">
        <v>0</v>
      </c>
      <c r="E180" s="100">
        <v>0</v>
      </c>
    </row>
    <row r="181" spans="1:5" x14ac:dyDescent="0.25">
      <c r="A181" s="100">
        <v>180</v>
      </c>
      <c r="B181" s="100">
        <v>1</v>
      </c>
      <c r="C181" s="189">
        <v>80</v>
      </c>
      <c r="D181" s="100">
        <v>1</v>
      </c>
      <c r="E181" s="100">
        <v>1</v>
      </c>
    </row>
    <row r="182" spans="1:5" x14ac:dyDescent="0.25">
      <c r="A182" s="100">
        <v>181</v>
      </c>
      <c r="B182" s="100">
        <v>0</v>
      </c>
      <c r="C182" s="189">
        <v>56</v>
      </c>
      <c r="D182" s="100">
        <v>1</v>
      </c>
      <c r="E182" s="100">
        <v>0</v>
      </c>
    </row>
    <row r="183" spans="1:5" x14ac:dyDescent="0.25">
      <c r="A183" s="100">
        <v>182</v>
      </c>
      <c r="B183" s="100">
        <v>0</v>
      </c>
      <c r="C183" s="189">
        <v>66.3</v>
      </c>
      <c r="D183" s="100">
        <v>0</v>
      </c>
      <c r="E183" s="100">
        <v>0</v>
      </c>
    </row>
    <row r="184" spans="1:5" x14ac:dyDescent="0.25">
      <c r="A184" s="100">
        <v>183</v>
      </c>
      <c r="B184" s="100">
        <v>1</v>
      </c>
      <c r="C184" s="189">
        <v>70.8</v>
      </c>
      <c r="D184" s="100">
        <v>1</v>
      </c>
      <c r="E184" s="100">
        <v>1</v>
      </c>
    </row>
    <row r="185" spans="1:5" x14ac:dyDescent="0.25">
      <c r="A185" s="100">
        <v>184</v>
      </c>
      <c r="B185" s="100">
        <v>1</v>
      </c>
      <c r="C185" s="189">
        <v>36.299999999999997</v>
      </c>
      <c r="D185" s="100">
        <v>0</v>
      </c>
      <c r="E185" s="100">
        <v>1</v>
      </c>
    </row>
    <row r="186" spans="1:5" x14ac:dyDescent="0.25">
      <c r="A186" s="100">
        <v>185</v>
      </c>
      <c r="B186" s="100">
        <v>1</v>
      </c>
      <c r="C186" s="189">
        <v>60.7</v>
      </c>
      <c r="D186" s="100">
        <v>1</v>
      </c>
      <c r="E186" s="100">
        <v>0</v>
      </c>
    </row>
    <row r="187" spans="1:5" x14ac:dyDescent="0.25">
      <c r="A187" s="100">
        <v>186</v>
      </c>
      <c r="B187" s="100">
        <v>1</v>
      </c>
      <c r="C187" s="189">
        <v>60.4</v>
      </c>
      <c r="D187" s="100">
        <v>1</v>
      </c>
      <c r="E187" s="100">
        <v>0</v>
      </c>
    </row>
    <row r="188" spans="1:5" x14ac:dyDescent="0.25">
      <c r="A188" s="100">
        <v>187</v>
      </c>
      <c r="B188" s="100">
        <v>0</v>
      </c>
      <c r="C188" s="189">
        <v>62</v>
      </c>
      <c r="D188" s="100">
        <v>1</v>
      </c>
      <c r="E188" s="100">
        <v>1</v>
      </c>
    </row>
    <row r="189" spans="1:5" x14ac:dyDescent="0.25">
      <c r="A189" s="100">
        <v>188</v>
      </c>
      <c r="B189" s="100">
        <v>1</v>
      </c>
      <c r="C189" s="189">
        <v>65</v>
      </c>
      <c r="D189" s="100">
        <v>0</v>
      </c>
      <c r="E189" s="100">
        <v>1</v>
      </c>
    </row>
    <row r="190" spans="1:5" x14ac:dyDescent="0.25">
      <c r="A190" s="100">
        <v>189</v>
      </c>
      <c r="B190" s="100">
        <v>0</v>
      </c>
      <c r="C190" s="189">
        <v>55.3</v>
      </c>
      <c r="D190" s="100">
        <v>0</v>
      </c>
      <c r="E190" s="100">
        <v>1</v>
      </c>
    </row>
    <row r="191" spans="1:5" x14ac:dyDescent="0.25">
      <c r="A191" s="100">
        <v>190</v>
      </c>
      <c r="B191" s="100">
        <v>0</v>
      </c>
      <c r="C191" s="189">
        <v>45.6</v>
      </c>
      <c r="D191" s="100">
        <v>1</v>
      </c>
      <c r="E191" s="100">
        <v>0</v>
      </c>
    </row>
    <row r="192" spans="1:5" x14ac:dyDescent="0.25">
      <c r="A192" s="100">
        <v>191</v>
      </c>
      <c r="B192" s="100">
        <v>1</v>
      </c>
      <c r="C192" s="189">
        <v>59.6</v>
      </c>
      <c r="D192" s="100">
        <v>0</v>
      </c>
      <c r="E192" s="100">
        <v>0</v>
      </c>
    </row>
    <row r="193" spans="1:5" x14ac:dyDescent="0.25">
      <c r="A193" s="100">
        <v>192</v>
      </c>
      <c r="B193" s="100">
        <v>0</v>
      </c>
      <c r="C193" s="189">
        <v>40.299999999999997</v>
      </c>
      <c r="D193" s="100">
        <v>0</v>
      </c>
      <c r="E193" s="100">
        <v>0</v>
      </c>
    </row>
    <row r="194" spans="1:5" x14ac:dyDescent="0.25">
      <c r="A194" s="100">
        <v>193</v>
      </c>
      <c r="B194" s="100">
        <v>0</v>
      </c>
      <c r="C194" s="189">
        <v>43.4</v>
      </c>
      <c r="D194" s="100">
        <v>0</v>
      </c>
      <c r="E194" s="100">
        <v>1</v>
      </c>
    </row>
    <row r="195" spans="1:5" x14ac:dyDescent="0.25">
      <c r="A195" s="100">
        <v>194</v>
      </c>
      <c r="B195" s="100">
        <v>0</v>
      </c>
      <c r="C195" s="189">
        <v>65.7</v>
      </c>
      <c r="D195" s="100">
        <v>0</v>
      </c>
      <c r="E195" s="100">
        <v>1</v>
      </c>
    </row>
    <row r="196" spans="1:5" x14ac:dyDescent="0.25">
      <c r="A196" s="100">
        <v>195</v>
      </c>
      <c r="B196" s="100">
        <v>0</v>
      </c>
      <c r="C196" s="189">
        <v>63.7</v>
      </c>
      <c r="D196" s="100">
        <v>0</v>
      </c>
      <c r="E196" s="100">
        <v>1</v>
      </c>
    </row>
    <row r="197" spans="1:5" x14ac:dyDescent="0.25">
      <c r="A197" s="100">
        <v>196</v>
      </c>
      <c r="B197" s="100">
        <v>0</v>
      </c>
      <c r="C197" s="189">
        <v>53</v>
      </c>
      <c r="D197" s="100">
        <v>0</v>
      </c>
      <c r="E197" s="100">
        <v>0</v>
      </c>
    </row>
    <row r="198" spans="1:5" x14ac:dyDescent="0.25">
      <c r="A198" s="100">
        <v>197</v>
      </c>
      <c r="B198" s="100">
        <v>0</v>
      </c>
      <c r="C198" s="189">
        <v>50.9</v>
      </c>
      <c r="D198" s="100">
        <v>0</v>
      </c>
      <c r="E198" s="100">
        <v>1</v>
      </c>
    </row>
    <row r="199" spans="1:5" x14ac:dyDescent="0.25">
      <c r="A199" s="100">
        <v>198</v>
      </c>
      <c r="B199" s="100">
        <v>0</v>
      </c>
      <c r="C199" s="189">
        <v>49.8</v>
      </c>
      <c r="D199" s="100">
        <v>1</v>
      </c>
      <c r="E199" s="100">
        <v>1</v>
      </c>
    </row>
    <row r="200" spans="1:5" x14ac:dyDescent="0.25">
      <c r="A200" s="100">
        <v>199</v>
      </c>
      <c r="B200" s="100">
        <v>0</v>
      </c>
      <c r="C200" s="189">
        <v>23.3</v>
      </c>
      <c r="D200" s="100">
        <v>0</v>
      </c>
      <c r="E200" s="100">
        <v>1</v>
      </c>
    </row>
    <row r="201" spans="1:5" x14ac:dyDescent="0.25">
      <c r="A201" s="100">
        <v>200</v>
      </c>
      <c r="B201" s="100">
        <v>0</v>
      </c>
      <c r="C201" s="189">
        <v>73</v>
      </c>
      <c r="D201" s="100">
        <v>1</v>
      </c>
      <c r="E201" s="100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9C1E-08F2-413B-928B-72CE3FBA19CB}">
  <dimension ref="A1:N503"/>
  <sheetViews>
    <sheetView workbookViewId="0">
      <selection activeCell="N1" sqref="N1:N12"/>
    </sheetView>
  </sheetViews>
  <sheetFormatPr defaultRowHeight="15" x14ac:dyDescent="0.25"/>
  <sheetData>
    <row r="1" spans="1:14" x14ac:dyDescent="0.25">
      <c r="A1" s="190" t="s">
        <v>0</v>
      </c>
      <c r="B1" s="190" t="s">
        <v>781</v>
      </c>
      <c r="C1" s="190" t="s">
        <v>782</v>
      </c>
      <c r="D1" s="190" t="s">
        <v>783</v>
      </c>
      <c r="E1" s="190" t="s">
        <v>784</v>
      </c>
      <c r="F1" s="190" t="s">
        <v>785</v>
      </c>
      <c r="G1" s="190" t="s">
        <v>786</v>
      </c>
      <c r="H1" s="190" t="s">
        <v>787</v>
      </c>
      <c r="I1" s="190" t="s">
        <v>788</v>
      </c>
      <c r="J1" s="190" t="s">
        <v>789</v>
      </c>
      <c r="K1" s="190" t="s">
        <v>790</v>
      </c>
      <c r="L1" s="190" t="s">
        <v>791</v>
      </c>
      <c r="M1" s="190" t="s">
        <v>792</v>
      </c>
      <c r="N1" s="62" t="s">
        <v>793</v>
      </c>
    </row>
    <row r="2" spans="1:14" x14ac:dyDescent="0.25">
      <c r="A2" s="191">
        <v>1</v>
      </c>
      <c r="B2" s="192">
        <v>5</v>
      </c>
      <c r="C2" s="192">
        <v>5</v>
      </c>
      <c r="D2" s="192">
        <v>5</v>
      </c>
      <c r="E2" s="192">
        <v>4</v>
      </c>
      <c r="F2" s="192">
        <v>3</v>
      </c>
      <c r="G2" s="192">
        <v>3</v>
      </c>
      <c r="H2" s="192">
        <v>3</v>
      </c>
      <c r="I2" s="192">
        <v>5</v>
      </c>
      <c r="J2" s="192">
        <v>4</v>
      </c>
      <c r="K2" s="192">
        <v>5</v>
      </c>
      <c r="L2" s="192">
        <v>5</v>
      </c>
      <c r="M2" s="193">
        <v>5</v>
      </c>
      <c r="N2" s="62" t="s">
        <v>794</v>
      </c>
    </row>
    <row r="3" spans="1:14" x14ac:dyDescent="0.25">
      <c r="A3" s="194">
        <v>2</v>
      </c>
      <c r="B3" s="195">
        <v>5</v>
      </c>
      <c r="C3" s="195">
        <v>5</v>
      </c>
      <c r="D3" s="195">
        <v>5</v>
      </c>
      <c r="E3" s="195">
        <v>5</v>
      </c>
      <c r="F3" s="195">
        <v>4</v>
      </c>
      <c r="G3" s="195">
        <v>4</v>
      </c>
      <c r="H3" s="195">
        <v>5</v>
      </c>
      <c r="I3" s="195">
        <v>5</v>
      </c>
      <c r="J3" s="195">
        <v>5</v>
      </c>
      <c r="K3" s="195">
        <v>5</v>
      </c>
      <c r="L3" s="195">
        <v>5</v>
      </c>
      <c r="M3" s="196">
        <v>5</v>
      </c>
      <c r="N3" s="62" t="s">
        <v>795</v>
      </c>
    </row>
    <row r="4" spans="1:14" x14ac:dyDescent="0.25">
      <c r="A4" s="194">
        <v>3</v>
      </c>
      <c r="B4" s="195">
        <v>5</v>
      </c>
      <c r="C4" s="195">
        <v>5</v>
      </c>
      <c r="D4" s="195">
        <v>5</v>
      </c>
      <c r="E4" s="195">
        <v>5</v>
      </c>
      <c r="F4" s="195">
        <v>3</v>
      </c>
      <c r="G4" s="195">
        <v>4</v>
      </c>
      <c r="H4" s="195">
        <v>5</v>
      </c>
      <c r="I4" s="195">
        <v>5</v>
      </c>
      <c r="J4" s="195">
        <v>5</v>
      </c>
      <c r="K4" s="195">
        <v>5</v>
      </c>
      <c r="L4" s="195">
        <v>5</v>
      </c>
      <c r="M4" s="196">
        <v>5</v>
      </c>
      <c r="N4" s="62" t="s">
        <v>796</v>
      </c>
    </row>
    <row r="5" spans="1:14" x14ac:dyDescent="0.25">
      <c r="A5" s="194">
        <v>4</v>
      </c>
      <c r="B5" s="195">
        <v>5</v>
      </c>
      <c r="C5" s="195">
        <v>3</v>
      </c>
      <c r="D5" s="195">
        <v>5</v>
      </c>
      <c r="E5" s="195">
        <v>5</v>
      </c>
      <c r="F5" s="195">
        <v>5</v>
      </c>
      <c r="G5" s="195">
        <v>1</v>
      </c>
      <c r="H5" s="195">
        <v>4</v>
      </c>
      <c r="I5" s="195">
        <v>4</v>
      </c>
      <c r="J5" s="195">
        <v>4</v>
      </c>
      <c r="K5" s="195">
        <v>5</v>
      </c>
      <c r="L5" s="195">
        <v>5</v>
      </c>
      <c r="M5" s="196">
        <v>5</v>
      </c>
      <c r="N5" s="62" t="s">
        <v>797</v>
      </c>
    </row>
    <row r="6" spans="1:14" x14ac:dyDescent="0.25">
      <c r="A6" s="194">
        <v>5</v>
      </c>
      <c r="B6" s="195">
        <v>5</v>
      </c>
      <c r="C6" s="195">
        <v>5</v>
      </c>
      <c r="D6" s="195">
        <v>5</v>
      </c>
      <c r="E6" s="195">
        <v>5</v>
      </c>
      <c r="F6" s="195">
        <v>5</v>
      </c>
      <c r="G6" s="195">
        <v>5</v>
      </c>
      <c r="H6" s="195">
        <v>5</v>
      </c>
      <c r="I6" s="195">
        <v>4</v>
      </c>
      <c r="J6" s="195">
        <v>5</v>
      </c>
      <c r="K6" s="195">
        <v>4</v>
      </c>
      <c r="L6" s="195">
        <v>5</v>
      </c>
      <c r="M6" s="196">
        <v>5</v>
      </c>
      <c r="N6" s="62" t="s">
        <v>798</v>
      </c>
    </row>
    <row r="7" spans="1:14" x14ac:dyDescent="0.25">
      <c r="A7" s="194">
        <v>6</v>
      </c>
      <c r="B7" s="195">
        <v>5</v>
      </c>
      <c r="C7" s="195">
        <v>5</v>
      </c>
      <c r="D7" s="195">
        <v>5</v>
      </c>
      <c r="E7" s="195">
        <v>5</v>
      </c>
      <c r="F7" s="195">
        <v>5</v>
      </c>
      <c r="G7" s="195">
        <v>4</v>
      </c>
      <c r="H7" s="195">
        <v>5</v>
      </c>
      <c r="I7" s="195">
        <v>5</v>
      </c>
      <c r="J7" s="195">
        <v>5</v>
      </c>
      <c r="K7" s="195">
        <v>4</v>
      </c>
      <c r="L7" s="195">
        <v>2</v>
      </c>
      <c r="M7" s="196">
        <v>5</v>
      </c>
      <c r="N7" s="62" t="s">
        <v>799</v>
      </c>
    </row>
    <row r="8" spans="1:14" x14ac:dyDescent="0.25">
      <c r="A8" s="194">
        <v>7</v>
      </c>
      <c r="B8" s="195">
        <v>5</v>
      </c>
      <c r="C8" s="195">
        <v>5</v>
      </c>
      <c r="D8" s="195">
        <v>5</v>
      </c>
      <c r="E8" s="195">
        <v>4</v>
      </c>
      <c r="F8" s="195">
        <v>5</v>
      </c>
      <c r="G8" s="195">
        <v>5</v>
      </c>
      <c r="H8" s="195">
        <v>5</v>
      </c>
      <c r="I8" s="195">
        <v>5</v>
      </c>
      <c r="J8" s="195">
        <v>5</v>
      </c>
      <c r="K8" s="195">
        <v>5</v>
      </c>
      <c r="L8" s="195">
        <v>5</v>
      </c>
      <c r="M8" s="196">
        <v>5</v>
      </c>
      <c r="N8" s="62" t="s">
        <v>800</v>
      </c>
    </row>
    <row r="9" spans="1:14" x14ac:dyDescent="0.25">
      <c r="A9" s="194">
        <v>8</v>
      </c>
      <c r="B9" s="195">
        <v>5</v>
      </c>
      <c r="C9" s="195">
        <v>4</v>
      </c>
      <c r="D9" s="195">
        <v>5</v>
      </c>
      <c r="E9" s="195">
        <v>4</v>
      </c>
      <c r="F9" s="195">
        <v>5</v>
      </c>
      <c r="G9" s="195">
        <v>4</v>
      </c>
      <c r="H9" s="195">
        <v>5</v>
      </c>
      <c r="I9" s="195">
        <v>5</v>
      </c>
      <c r="J9" s="195">
        <v>5</v>
      </c>
      <c r="K9" s="195">
        <v>4</v>
      </c>
      <c r="L9" s="195">
        <v>4</v>
      </c>
      <c r="M9" s="196">
        <v>5</v>
      </c>
      <c r="N9" s="62" t="s">
        <v>801</v>
      </c>
    </row>
    <row r="10" spans="1:14" x14ac:dyDescent="0.25">
      <c r="A10" s="194">
        <v>9</v>
      </c>
      <c r="B10" s="195">
        <v>5</v>
      </c>
      <c r="C10" s="195">
        <v>5</v>
      </c>
      <c r="D10" s="195">
        <v>4</v>
      </c>
      <c r="E10" s="195">
        <v>4</v>
      </c>
      <c r="F10" s="195">
        <v>4</v>
      </c>
      <c r="G10" s="195">
        <v>4</v>
      </c>
      <c r="H10" s="195">
        <v>4</v>
      </c>
      <c r="I10" s="195">
        <v>4</v>
      </c>
      <c r="J10" s="195">
        <v>5</v>
      </c>
      <c r="K10" s="195">
        <v>5</v>
      </c>
      <c r="L10" s="195">
        <v>5</v>
      </c>
      <c r="M10" s="196">
        <v>5</v>
      </c>
      <c r="N10" s="62" t="s">
        <v>802</v>
      </c>
    </row>
    <row r="11" spans="1:14" x14ac:dyDescent="0.25">
      <c r="A11" s="194">
        <v>10</v>
      </c>
      <c r="B11" s="195">
        <v>5</v>
      </c>
      <c r="C11" s="195">
        <v>5</v>
      </c>
      <c r="D11" s="195">
        <v>5</v>
      </c>
      <c r="E11" s="195">
        <v>4</v>
      </c>
      <c r="F11" s="195">
        <v>5</v>
      </c>
      <c r="G11" s="195">
        <v>2</v>
      </c>
      <c r="H11" s="195">
        <v>3</v>
      </c>
      <c r="I11" s="195">
        <v>4</v>
      </c>
      <c r="J11" s="195">
        <v>4</v>
      </c>
      <c r="K11" s="195">
        <v>5</v>
      </c>
      <c r="L11" s="195">
        <v>3</v>
      </c>
      <c r="M11" s="196">
        <v>5</v>
      </c>
      <c r="N11" s="62" t="s">
        <v>803</v>
      </c>
    </row>
    <row r="12" spans="1:14" x14ac:dyDescent="0.25">
      <c r="A12" s="194">
        <v>11</v>
      </c>
      <c r="B12" s="195">
        <v>5</v>
      </c>
      <c r="C12" s="195">
        <v>5</v>
      </c>
      <c r="D12" s="195">
        <v>4</v>
      </c>
      <c r="E12" s="195">
        <v>5</v>
      </c>
      <c r="F12" s="195">
        <v>5</v>
      </c>
      <c r="G12" s="195">
        <v>5</v>
      </c>
      <c r="H12" s="195">
        <v>5</v>
      </c>
      <c r="I12" s="195">
        <v>5</v>
      </c>
      <c r="J12" s="195">
        <v>5</v>
      </c>
      <c r="K12" s="195">
        <v>5</v>
      </c>
      <c r="L12" s="195">
        <v>5</v>
      </c>
      <c r="M12" s="196">
        <v>5</v>
      </c>
      <c r="N12" s="62" t="s">
        <v>804</v>
      </c>
    </row>
    <row r="13" spans="1:14" x14ac:dyDescent="0.25">
      <c r="A13" s="194">
        <v>12</v>
      </c>
      <c r="B13" s="195">
        <v>5</v>
      </c>
      <c r="C13" s="195">
        <v>5</v>
      </c>
      <c r="D13" s="195">
        <v>5</v>
      </c>
      <c r="E13" s="195">
        <v>5</v>
      </c>
      <c r="F13" s="195">
        <v>5</v>
      </c>
      <c r="G13" s="195">
        <v>3</v>
      </c>
      <c r="H13" s="195">
        <v>5</v>
      </c>
      <c r="I13" s="195">
        <v>5</v>
      </c>
      <c r="J13" s="195">
        <v>5</v>
      </c>
      <c r="K13" s="195">
        <v>5</v>
      </c>
      <c r="L13" s="195">
        <v>5</v>
      </c>
      <c r="M13" s="196">
        <v>5</v>
      </c>
    </row>
    <row r="14" spans="1:14" x14ac:dyDescent="0.25">
      <c r="A14" s="194">
        <v>13</v>
      </c>
      <c r="B14" s="195">
        <v>5</v>
      </c>
      <c r="C14" s="195">
        <v>5</v>
      </c>
      <c r="D14" s="195">
        <v>5</v>
      </c>
      <c r="E14" s="195">
        <v>5</v>
      </c>
      <c r="F14" s="195">
        <v>5</v>
      </c>
      <c r="G14" s="195">
        <v>3</v>
      </c>
      <c r="H14" s="195">
        <v>5</v>
      </c>
      <c r="I14" s="195">
        <v>4</v>
      </c>
      <c r="J14" s="195">
        <v>5</v>
      </c>
      <c r="K14" s="195">
        <v>5</v>
      </c>
      <c r="L14" s="195">
        <v>5</v>
      </c>
      <c r="M14" s="196">
        <v>5</v>
      </c>
    </row>
    <row r="15" spans="1:14" x14ac:dyDescent="0.25">
      <c r="A15" s="194">
        <v>14</v>
      </c>
      <c r="B15" s="195">
        <v>5</v>
      </c>
      <c r="C15" s="195">
        <v>5</v>
      </c>
      <c r="D15" s="195">
        <v>5</v>
      </c>
      <c r="E15" s="195">
        <v>1</v>
      </c>
      <c r="F15" s="195">
        <v>5</v>
      </c>
      <c r="G15" s="195">
        <v>4</v>
      </c>
      <c r="H15" s="195">
        <v>4</v>
      </c>
      <c r="I15" s="195">
        <v>5</v>
      </c>
      <c r="J15" s="195">
        <v>5</v>
      </c>
      <c r="K15" s="195">
        <v>5</v>
      </c>
      <c r="L15" s="195">
        <v>3</v>
      </c>
      <c r="M15" s="196">
        <v>5</v>
      </c>
    </row>
    <row r="16" spans="1:14" x14ac:dyDescent="0.25">
      <c r="A16" s="194">
        <v>15</v>
      </c>
      <c r="B16" s="195">
        <v>5</v>
      </c>
      <c r="C16" s="195">
        <v>5</v>
      </c>
      <c r="D16" s="195">
        <v>5</v>
      </c>
      <c r="E16" s="195">
        <v>4</v>
      </c>
      <c r="F16" s="195">
        <v>5</v>
      </c>
      <c r="G16" s="195">
        <v>5</v>
      </c>
      <c r="H16" s="195">
        <v>4</v>
      </c>
      <c r="I16" s="195">
        <v>4</v>
      </c>
      <c r="J16" s="195">
        <v>3</v>
      </c>
      <c r="K16" s="195">
        <v>4</v>
      </c>
      <c r="L16" s="195">
        <v>2</v>
      </c>
      <c r="M16" s="196">
        <v>5</v>
      </c>
    </row>
    <row r="17" spans="1:13" x14ac:dyDescent="0.25">
      <c r="A17" s="194">
        <v>16</v>
      </c>
      <c r="B17" s="195">
        <v>5</v>
      </c>
      <c r="C17" s="195">
        <v>5</v>
      </c>
      <c r="D17" s="195">
        <v>5</v>
      </c>
      <c r="E17" s="195">
        <v>5</v>
      </c>
      <c r="F17" s="195">
        <v>5</v>
      </c>
      <c r="G17" s="195">
        <v>5</v>
      </c>
      <c r="H17" s="195">
        <v>5</v>
      </c>
      <c r="I17" s="195">
        <v>5</v>
      </c>
      <c r="J17" s="195">
        <v>5</v>
      </c>
      <c r="K17" s="195">
        <v>5</v>
      </c>
      <c r="L17" s="195">
        <v>5</v>
      </c>
      <c r="M17" s="196">
        <v>5</v>
      </c>
    </row>
    <row r="18" spans="1:13" x14ac:dyDescent="0.25">
      <c r="A18" s="194">
        <v>17</v>
      </c>
      <c r="B18" s="195">
        <v>5</v>
      </c>
      <c r="C18" s="195">
        <v>5</v>
      </c>
      <c r="D18" s="195">
        <v>5</v>
      </c>
      <c r="E18" s="195">
        <v>5</v>
      </c>
      <c r="F18" s="195">
        <v>5</v>
      </c>
      <c r="G18" s="195">
        <v>5</v>
      </c>
      <c r="H18" s="195">
        <v>5</v>
      </c>
      <c r="I18" s="195">
        <v>5</v>
      </c>
      <c r="J18" s="195">
        <v>5</v>
      </c>
      <c r="K18" s="195">
        <v>5</v>
      </c>
      <c r="L18" s="195">
        <v>5</v>
      </c>
      <c r="M18" s="196">
        <v>5</v>
      </c>
    </row>
    <row r="19" spans="1:13" x14ac:dyDescent="0.25">
      <c r="A19" s="194">
        <v>18</v>
      </c>
      <c r="B19" s="195">
        <v>5</v>
      </c>
      <c r="C19" s="195">
        <v>5</v>
      </c>
      <c r="D19" s="195">
        <v>5</v>
      </c>
      <c r="E19" s="195">
        <v>5</v>
      </c>
      <c r="F19" s="195">
        <v>5</v>
      </c>
      <c r="G19" s="195">
        <v>5</v>
      </c>
      <c r="H19" s="195">
        <v>5</v>
      </c>
      <c r="I19" s="195">
        <v>5</v>
      </c>
      <c r="J19" s="195">
        <v>5</v>
      </c>
      <c r="K19" s="195">
        <v>5</v>
      </c>
      <c r="L19" s="195">
        <v>4</v>
      </c>
      <c r="M19" s="196">
        <v>5</v>
      </c>
    </row>
    <row r="20" spans="1:13" x14ac:dyDescent="0.25">
      <c r="A20" s="194">
        <v>19</v>
      </c>
      <c r="B20" s="195">
        <v>5</v>
      </c>
      <c r="C20" s="195">
        <v>5</v>
      </c>
      <c r="D20" s="195">
        <v>5</v>
      </c>
      <c r="E20" s="195">
        <v>5</v>
      </c>
      <c r="F20" s="195">
        <v>5</v>
      </c>
      <c r="G20" s="195">
        <v>5</v>
      </c>
      <c r="H20" s="195">
        <v>5</v>
      </c>
      <c r="I20" s="195">
        <v>5</v>
      </c>
      <c r="J20" s="195">
        <v>5</v>
      </c>
      <c r="K20" s="195">
        <v>5</v>
      </c>
      <c r="L20" s="195">
        <v>5</v>
      </c>
      <c r="M20" s="196">
        <v>5</v>
      </c>
    </row>
    <row r="21" spans="1:13" x14ac:dyDescent="0.25">
      <c r="A21" s="194">
        <v>20</v>
      </c>
      <c r="B21" s="195">
        <v>5</v>
      </c>
      <c r="C21" s="195">
        <v>5</v>
      </c>
      <c r="D21" s="195">
        <v>5</v>
      </c>
      <c r="E21" s="195">
        <v>5</v>
      </c>
      <c r="F21" s="195">
        <v>4</v>
      </c>
      <c r="G21" s="195">
        <v>5</v>
      </c>
      <c r="H21" s="195">
        <v>5</v>
      </c>
      <c r="I21" s="195">
        <v>5</v>
      </c>
      <c r="J21" s="195">
        <v>5</v>
      </c>
      <c r="K21" s="195">
        <v>4</v>
      </c>
      <c r="L21" s="195">
        <v>5</v>
      </c>
      <c r="M21" s="196">
        <v>5</v>
      </c>
    </row>
    <row r="22" spans="1:13" x14ac:dyDescent="0.25">
      <c r="A22" s="194">
        <v>21</v>
      </c>
      <c r="B22" s="195">
        <v>5</v>
      </c>
      <c r="C22" s="195">
        <v>5</v>
      </c>
      <c r="D22" s="195">
        <v>5</v>
      </c>
      <c r="E22" s="195">
        <v>5</v>
      </c>
      <c r="F22" s="195">
        <v>5</v>
      </c>
      <c r="G22" s="195">
        <v>5</v>
      </c>
      <c r="H22" s="195">
        <v>5</v>
      </c>
      <c r="I22" s="195">
        <v>5</v>
      </c>
      <c r="J22" s="195">
        <v>5</v>
      </c>
      <c r="K22" s="195">
        <v>4</v>
      </c>
      <c r="L22" s="195">
        <v>5</v>
      </c>
      <c r="M22" s="196">
        <v>5</v>
      </c>
    </row>
    <row r="23" spans="1:13" x14ac:dyDescent="0.25">
      <c r="A23" s="194">
        <v>22</v>
      </c>
      <c r="B23" s="195">
        <v>5</v>
      </c>
      <c r="C23" s="195">
        <v>5</v>
      </c>
      <c r="D23" s="195">
        <v>5</v>
      </c>
      <c r="E23" s="195">
        <v>4</v>
      </c>
      <c r="F23" s="195">
        <v>5</v>
      </c>
      <c r="G23" s="195">
        <v>5</v>
      </c>
      <c r="H23" s="195">
        <v>4</v>
      </c>
      <c r="I23" s="195">
        <v>5</v>
      </c>
      <c r="J23" s="195">
        <v>5</v>
      </c>
      <c r="K23" s="195">
        <v>5</v>
      </c>
      <c r="L23" s="195">
        <v>5</v>
      </c>
      <c r="M23" s="196">
        <v>5</v>
      </c>
    </row>
    <row r="24" spans="1:13" x14ac:dyDescent="0.25">
      <c r="A24" s="194">
        <v>23</v>
      </c>
      <c r="B24" s="195">
        <v>5</v>
      </c>
      <c r="C24" s="195">
        <v>5</v>
      </c>
      <c r="D24" s="195">
        <v>4</v>
      </c>
      <c r="E24" s="195">
        <v>5</v>
      </c>
      <c r="F24" s="195">
        <v>5</v>
      </c>
      <c r="G24" s="195">
        <v>5</v>
      </c>
      <c r="H24" s="195">
        <v>5</v>
      </c>
      <c r="I24" s="195">
        <v>4</v>
      </c>
      <c r="J24" s="195">
        <v>4</v>
      </c>
      <c r="K24" s="195">
        <v>4</v>
      </c>
      <c r="L24" s="195">
        <v>5</v>
      </c>
      <c r="M24" s="196">
        <v>5</v>
      </c>
    </row>
    <row r="25" spans="1:13" x14ac:dyDescent="0.25">
      <c r="A25" s="194">
        <v>24</v>
      </c>
      <c r="B25" s="195">
        <v>5</v>
      </c>
      <c r="C25" s="195">
        <v>5</v>
      </c>
      <c r="D25" s="195">
        <v>5</v>
      </c>
      <c r="E25" s="195">
        <v>5</v>
      </c>
      <c r="F25" s="195">
        <v>5</v>
      </c>
      <c r="G25" s="195">
        <v>5</v>
      </c>
      <c r="H25" s="195">
        <v>5</v>
      </c>
      <c r="I25" s="195">
        <v>5</v>
      </c>
      <c r="J25" s="195">
        <v>5</v>
      </c>
      <c r="K25" s="195">
        <v>5</v>
      </c>
      <c r="L25" s="195">
        <v>4</v>
      </c>
      <c r="M25" s="196">
        <v>5</v>
      </c>
    </row>
    <row r="26" spans="1:13" x14ac:dyDescent="0.25">
      <c r="A26" s="194">
        <v>25</v>
      </c>
      <c r="B26" s="195">
        <v>5</v>
      </c>
      <c r="C26" s="195">
        <v>5</v>
      </c>
      <c r="D26" s="195">
        <v>5</v>
      </c>
      <c r="E26" s="195">
        <v>5</v>
      </c>
      <c r="F26" s="195">
        <v>5</v>
      </c>
      <c r="G26" s="195">
        <v>5</v>
      </c>
      <c r="H26" s="195">
        <v>5</v>
      </c>
      <c r="I26" s="195">
        <v>5</v>
      </c>
      <c r="J26" s="195">
        <v>5</v>
      </c>
      <c r="K26" s="195">
        <v>5</v>
      </c>
      <c r="L26" s="195">
        <v>5</v>
      </c>
      <c r="M26" s="196">
        <v>5</v>
      </c>
    </row>
    <row r="27" spans="1:13" x14ac:dyDescent="0.25">
      <c r="A27" s="194">
        <v>26</v>
      </c>
      <c r="B27" s="195">
        <v>5</v>
      </c>
      <c r="C27" s="195">
        <v>5</v>
      </c>
      <c r="D27" s="195">
        <v>5</v>
      </c>
      <c r="E27" s="195">
        <v>5</v>
      </c>
      <c r="F27" s="195">
        <v>5</v>
      </c>
      <c r="G27" s="195">
        <v>5</v>
      </c>
      <c r="H27" s="195">
        <v>4</v>
      </c>
      <c r="I27" s="195">
        <v>5</v>
      </c>
      <c r="J27" s="195">
        <v>5</v>
      </c>
      <c r="K27" s="195">
        <v>2</v>
      </c>
      <c r="L27" s="195">
        <v>4</v>
      </c>
      <c r="M27" s="196">
        <v>5</v>
      </c>
    </row>
    <row r="28" spans="1:13" x14ac:dyDescent="0.25">
      <c r="A28" s="194">
        <v>27</v>
      </c>
      <c r="B28" s="195">
        <v>5</v>
      </c>
      <c r="C28" s="195">
        <v>5</v>
      </c>
      <c r="D28" s="195">
        <v>5</v>
      </c>
      <c r="E28" s="195">
        <v>3</v>
      </c>
      <c r="F28" s="195">
        <v>5</v>
      </c>
      <c r="G28" s="195">
        <v>5</v>
      </c>
      <c r="H28" s="195">
        <v>4</v>
      </c>
      <c r="I28" s="195">
        <v>5</v>
      </c>
      <c r="J28" s="195">
        <v>5</v>
      </c>
      <c r="K28" s="195">
        <v>5</v>
      </c>
      <c r="L28" s="195">
        <v>5</v>
      </c>
      <c r="M28" s="196">
        <v>5</v>
      </c>
    </row>
    <row r="29" spans="1:13" x14ac:dyDescent="0.25">
      <c r="A29" s="194">
        <v>28</v>
      </c>
      <c r="B29" s="195">
        <v>5</v>
      </c>
      <c r="C29" s="195">
        <v>5</v>
      </c>
      <c r="D29" s="195">
        <v>5</v>
      </c>
      <c r="E29" s="195">
        <v>4</v>
      </c>
      <c r="F29" s="195">
        <v>5</v>
      </c>
      <c r="G29" s="195">
        <v>5</v>
      </c>
      <c r="H29" s="195">
        <v>4</v>
      </c>
      <c r="I29" s="195">
        <v>4</v>
      </c>
      <c r="J29" s="195">
        <v>5</v>
      </c>
      <c r="K29" s="195">
        <v>4</v>
      </c>
      <c r="L29" s="195">
        <v>4</v>
      </c>
      <c r="M29" s="196">
        <v>5</v>
      </c>
    </row>
    <row r="30" spans="1:13" x14ac:dyDescent="0.25">
      <c r="A30" s="194">
        <v>29</v>
      </c>
      <c r="B30" s="195">
        <v>5</v>
      </c>
      <c r="C30" s="195">
        <v>4</v>
      </c>
      <c r="D30" s="195">
        <v>5</v>
      </c>
      <c r="E30" s="195">
        <v>5</v>
      </c>
      <c r="F30" s="195">
        <v>5</v>
      </c>
      <c r="G30" s="195">
        <v>5</v>
      </c>
      <c r="H30" s="195">
        <v>4</v>
      </c>
      <c r="I30" s="195">
        <v>4</v>
      </c>
      <c r="J30" s="195">
        <v>5</v>
      </c>
      <c r="K30" s="195">
        <v>5</v>
      </c>
      <c r="L30" s="195">
        <v>5</v>
      </c>
      <c r="M30" s="196">
        <v>5</v>
      </c>
    </row>
    <row r="31" spans="1:13" x14ac:dyDescent="0.25">
      <c r="A31" s="194">
        <v>30</v>
      </c>
      <c r="B31" s="195">
        <v>5</v>
      </c>
      <c r="C31" s="195">
        <v>5</v>
      </c>
      <c r="D31" s="195">
        <v>5</v>
      </c>
      <c r="E31" s="195">
        <v>5</v>
      </c>
      <c r="F31" s="195">
        <v>5</v>
      </c>
      <c r="G31" s="195">
        <v>5</v>
      </c>
      <c r="H31" s="195">
        <v>5</v>
      </c>
      <c r="I31" s="195">
        <v>5</v>
      </c>
      <c r="J31" s="195">
        <v>5</v>
      </c>
      <c r="K31" s="195">
        <v>5</v>
      </c>
      <c r="L31" s="195">
        <v>3</v>
      </c>
      <c r="M31" s="196">
        <v>5</v>
      </c>
    </row>
    <row r="32" spans="1:13" x14ac:dyDescent="0.25">
      <c r="A32" s="194">
        <v>31</v>
      </c>
      <c r="B32" s="195">
        <v>5</v>
      </c>
      <c r="C32" s="195">
        <v>5</v>
      </c>
      <c r="D32" s="195">
        <v>5</v>
      </c>
      <c r="E32" s="195">
        <v>5</v>
      </c>
      <c r="F32" s="195">
        <v>5</v>
      </c>
      <c r="G32" s="195">
        <v>5</v>
      </c>
      <c r="H32" s="195">
        <v>5</v>
      </c>
      <c r="I32" s="195">
        <v>5</v>
      </c>
      <c r="J32" s="195">
        <v>5</v>
      </c>
      <c r="K32" s="195">
        <v>5</v>
      </c>
      <c r="L32" s="195">
        <v>5</v>
      </c>
      <c r="M32" s="196">
        <v>5</v>
      </c>
    </row>
    <row r="33" spans="1:13" x14ac:dyDescent="0.25">
      <c r="A33" s="194">
        <v>32</v>
      </c>
      <c r="B33" s="195">
        <v>5</v>
      </c>
      <c r="C33" s="195">
        <v>5</v>
      </c>
      <c r="D33" s="195">
        <v>5</v>
      </c>
      <c r="E33" s="195">
        <v>2</v>
      </c>
      <c r="F33" s="195">
        <v>5</v>
      </c>
      <c r="G33" s="195">
        <v>5</v>
      </c>
      <c r="H33" s="195">
        <v>5</v>
      </c>
      <c r="I33" s="195">
        <v>5</v>
      </c>
      <c r="J33" s="195">
        <v>5</v>
      </c>
      <c r="K33" s="195">
        <v>5</v>
      </c>
      <c r="L33" s="195">
        <v>5</v>
      </c>
      <c r="M33" s="196">
        <v>5</v>
      </c>
    </row>
    <row r="34" spans="1:13" x14ac:dyDescent="0.25">
      <c r="A34" s="194">
        <v>33</v>
      </c>
      <c r="B34" s="195">
        <v>5</v>
      </c>
      <c r="C34" s="195">
        <v>5</v>
      </c>
      <c r="D34" s="195">
        <v>5</v>
      </c>
      <c r="E34" s="195">
        <v>5</v>
      </c>
      <c r="F34" s="195">
        <v>5</v>
      </c>
      <c r="G34" s="195">
        <v>5</v>
      </c>
      <c r="H34" s="195">
        <v>4</v>
      </c>
      <c r="I34" s="195">
        <v>5</v>
      </c>
      <c r="J34" s="195">
        <v>5</v>
      </c>
      <c r="K34" s="195">
        <v>5</v>
      </c>
      <c r="L34" s="195">
        <v>5</v>
      </c>
      <c r="M34" s="196">
        <v>5</v>
      </c>
    </row>
    <row r="35" spans="1:13" x14ac:dyDescent="0.25">
      <c r="A35" s="194">
        <v>34</v>
      </c>
      <c r="B35" s="195">
        <v>5</v>
      </c>
      <c r="C35" s="195">
        <v>5</v>
      </c>
      <c r="D35" s="195">
        <v>5</v>
      </c>
      <c r="E35" s="195">
        <v>4</v>
      </c>
      <c r="F35" s="195">
        <v>5</v>
      </c>
      <c r="G35" s="195">
        <v>5</v>
      </c>
      <c r="H35" s="195">
        <v>5</v>
      </c>
      <c r="I35" s="195">
        <v>5</v>
      </c>
      <c r="J35" s="195">
        <v>5</v>
      </c>
      <c r="K35" s="195">
        <v>4</v>
      </c>
      <c r="L35" s="195">
        <v>5</v>
      </c>
      <c r="M35" s="196">
        <v>5</v>
      </c>
    </row>
    <row r="36" spans="1:13" x14ac:dyDescent="0.25">
      <c r="A36" s="194">
        <v>35</v>
      </c>
      <c r="B36" s="195">
        <v>5</v>
      </c>
      <c r="C36" s="195">
        <v>5</v>
      </c>
      <c r="D36" s="195">
        <v>5</v>
      </c>
      <c r="E36" s="195">
        <v>5</v>
      </c>
      <c r="F36" s="195">
        <v>5</v>
      </c>
      <c r="G36" s="195">
        <v>5</v>
      </c>
      <c r="H36" s="195">
        <v>5</v>
      </c>
      <c r="I36" s="195">
        <v>5</v>
      </c>
      <c r="J36" s="195">
        <v>5</v>
      </c>
      <c r="K36" s="195">
        <v>5</v>
      </c>
      <c r="L36" s="195">
        <v>5</v>
      </c>
      <c r="M36" s="196">
        <v>5</v>
      </c>
    </row>
    <row r="37" spans="1:13" x14ac:dyDescent="0.25">
      <c r="A37" s="194">
        <v>36</v>
      </c>
      <c r="B37" s="195">
        <v>5</v>
      </c>
      <c r="C37" s="195">
        <v>5</v>
      </c>
      <c r="D37" s="195">
        <v>5</v>
      </c>
      <c r="E37" s="195">
        <v>4</v>
      </c>
      <c r="F37" s="195">
        <v>5</v>
      </c>
      <c r="G37" s="195">
        <v>5</v>
      </c>
      <c r="H37" s="195">
        <v>5</v>
      </c>
      <c r="I37" s="195">
        <v>5</v>
      </c>
      <c r="J37" s="195">
        <v>5</v>
      </c>
      <c r="K37" s="195">
        <v>5</v>
      </c>
      <c r="L37" s="195">
        <v>5</v>
      </c>
      <c r="M37" s="196">
        <v>5</v>
      </c>
    </row>
    <row r="38" spans="1:13" x14ac:dyDescent="0.25">
      <c r="A38" s="194">
        <v>37</v>
      </c>
      <c r="B38" s="195">
        <v>5</v>
      </c>
      <c r="C38" s="195">
        <v>5</v>
      </c>
      <c r="D38" s="195">
        <v>5</v>
      </c>
      <c r="E38" s="195">
        <v>2</v>
      </c>
      <c r="F38" s="195">
        <v>5</v>
      </c>
      <c r="G38" s="195">
        <v>5</v>
      </c>
      <c r="H38" s="195">
        <v>3</v>
      </c>
      <c r="I38" s="195">
        <v>5</v>
      </c>
      <c r="J38" s="195">
        <v>5</v>
      </c>
      <c r="K38" s="195">
        <v>5</v>
      </c>
      <c r="L38" s="195">
        <v>3</v>
      </c>
      <c r="M38" s="196">
        <v>5</v>
      </c>
    </row>
    <row r="39" spans="1:13" x14ac:dyDescent="0.25">
      <c r="A39" s="194">
        <v>38</v>
      </c>
      <c r="B39" s="195">
        <v>5</v>
      </c>
      <c r="C39" s="195">
        <v>5</v>
      </c>
      <c r="D39" s="195">
        <v>5</v>
      </c>
      <c r="E39" s="195">
        <v>1</v>
      </c>
      <c r="F39" s="195">
        <v>5</v>
      </c>
      <c r="G39" s="195">
        <v>5</v>
      </c>
      <c r="H39" s="195">
        <v>3</v>
      </c>
      <c r="I39" s="195">
        <v>4</v>
      </c>
      <c r="J39" s="195">
        <v>5</v>
      </c>
      <c r="K39" s="195">
        <v>4</v>
      </c>
      <c r="L39" s="195">
        <v>3</v>
      </c>
      <c r="M39" s="196">
        <v>5</v>
      </c>
    </row>
    <row r="40" spans="1:13" x14ac:dyDescent="0.25">
      <c r="A40" s="194">
        <v>39</v>
      </c>
      <c r="B40" s="195">
        <v>5</v>
      </c>
      <c r="C40" s="195">
        <v>5</v>
      </c>
      <c r="D40" s="195">
        <v>5</v>
      </c>
      <c r="E40" s="195">
        <v>1</v>
      </c>
      <c r="F40" s="195">
        <v>5</v>
      </c>
      <c r="G40" s="195">
        <v>5</v>
      </c>
      <c r="H40" s="195">
        <v>1</v>
      </c>
      <c r="I40" s="195">
        <v>5</v>
      </c>
      <c r="J40" s="195">
        <v>5</v>
      </c>
      <c r="K40" s="195">
        <v>5</v>
      </c>
      <c r="L40" s="195">
        <v>5</v>
      </c>
      <c r="M40" s="196">
        <v>5</v>
      </c>
    </row>
    <row r="41" spans="1:13" x14ac:dyDescent="0.25">
      <c r="A41" s="194">
        <v>40</v>
      </c>
      <c r="B41" s="195">
        <v>5</v>
      </c>
      <c r="C41" s="195">
        <v>4</v>
      </c>
      <c r="D41" s="195">
        <v>5</v>
      </c>
      <c r="E41" s="195">
        <v>4</v>
      </c>
      <c r="F41" s="195">
        <v>5</v>
      </c>
      <c r="G41" s="195">
        <v>5</v>
      </c>
      <c r="H41" s="195">
        <v>3</v>
      </c>
      <c r="I41" s="195">
        <v>5</v>
      </c>
      <c r="J41" s="195">
        <v>4</v>
      </c>
      <c r="K41" s="195">
        <v>5</v>
      </c>
      <c r="L41" s="195">
        <v>5</v>
      </c>
      <c r="M41" s="196">
        <v>5</v>
      </c>
    </row>
    <row r="42" spans="1:13" x14ac:dyDescent="0.25">
      <c r="A42" s="194">
        <v>41</v>
      </c>
      <c r="B42" s="195">
        <v>5</v>
      </c>
      <c r="C42" s="195">
        <v>5</v>
      </c>
      <c r="D42" s="195">
        <v>5</v>
      </c>
      <c r="E42" s="195">
        <v>5</v>
      </c>
      <c r="F42" s="195">
        <v>5</v>
      </c>
      <c r="G42" s="195">
        <v>5</v>
      </c>
      <c r="H42" s="195">
        <v>4</v>
      </c>
      <c r="I42" s="195">
        <v>5</v>
      </c>
      <c r="J42" s="195">
        <v>5</v>
      </c>
      <c r="K42" s="195">
        <v>5</v>
      </c>
      <c r="L42" s="195">
        <v>5</v>
      </c>
      <c r="M42" s="196">
        <v>5</v>
      </c>
    </row>
    <row r="43" spans="1:13" x14ac:dyDescent="0.25">
      <c r="A43" s="194">
        <v>42</v>
      </c>
      <c r="B43" s="195">
        <v>5</v>
      </c>
      <c r="C43" s="195">
        <v>5</v>
      </c>
      <c r="D43" s="195">
        <v>5</v>
      </c>
      <c r="E43" s="195">
        <v>5</v>
      </c>
      <c r="F43" s="195">
        <v>5</v>
      </c>
      <c r="G43" s="195">
        <v>5</v>
      </c>
      <c r="H43" s="195">
        <v>2</v>
      </c>
      <c r="I43" s="195">
        <v>2</v>
      </c>
      <c r="J43" s="195">
        <v>5</v>
      </c>
      <c r="K43" s="195">
        <v>5</v>
      </c>
      <c r="L43" s="195">
        <v>5</v>
      </c>
      <c r="M43" s="196">
        <v>5</v>
      </c>
    </row>
    <row r="44" spans="1:13" x14ac:dyDescent="0.25">
      <c r="A44" s="194">
        <v>43</v>
      </c>
      <c r="B44" s="195">
        <v>5</v>
      </c>
      <c r="C44" s="195">
        <v>5</v>
      </c>
      <c r="D44" s="195">
        <v>5</v>
      </c>
      <c r="E44" s="195">
        <v>5</v>
      </c>
      <c r="F44" s="195">
        <v>5</v>
      </c>
      <c r="G44" s="195">
        <v>5</v>
      </c>
      <c r="H44" s="195">
        <v>5</v>
      </c>
      <c r="I44" s="195">
        <v>5</v>
      </c>
      <c r="J44" s="195">
        <v>4</v>
      </c>
      <c r="K44" s="195">
        <v>4</v>
      </c>
      <c r="L44" s="195">
        <v>5</v>
      </c>
      <c r="M44" s="196">
        <v>5</v>
      </c>
    </row>
    <row r="45" spans="1:13" x14ac:dyDescent="0.25">
      <c r="A45" s="194">
        <v>44</v>
      </c>
      <c r="B45" s="195">
        <v>5</v>
      </c>
      <c r="C45" s="195">
        <v>5</v>
      </c>
      <c r="D45" s="195">
        <v>5</v>
      </c>
      <c r="E45" s="195">
        <v>5</v>
      </c>
      <c r="F45" s="195">
        <v>5</v>
      </c>
      <c r="G45" s="195">
        <v>5</v>
      </c>
      <c r="H45" s="195">
        <v>5</v>
      </c>
      <c r="I45" s="195">
        <v>5</v>
      </c>
      <c r="J45" s="195">
        <v>5</v>
      </c>
      <c r="K45" s="195">
        <v>5</v>
      </c>
      <c r="L45" s="195">
        <v>5</v>
      </c>
      <c r="M45" s="196">
        <v>5</v>
      </c>
    </row>
    <row r="46" spans="1:13" x14ac:dyDescent="0.25">
      <c r="A46" s="194">
        <v>45</v>
      </c>
      <c r="B46" s="195">
        <v>5</v>
      </c>
      <c r="C46" s="195">
        <v>5</v>
      </c>
      <c r="D46" s="195">
        <v>5</v>
      </c>
      <c r="E46" s="195">
        <v>5</v>
      </c>
      <c r="F46" s="195">
        <v>5</v>
      </c>
      <c r="G46" s="195">
        <v>5</v>
      </c>
      <c r="H46" s="195">
        <v>5</v>
      </c>
      <c r="I46" s="195">
        <v>5</v>
      </c>
      <c r="J46" s="195">
        <v>5</v>
      </c>
      <c r="K46" s="195">
        <v>5</v>
      </c>
      <c r="L46" s="195">
        <v>5</v>
      </c>
      <c r="M46" s="196">
        <v>5</v>
      </c>
    </row>
    <row r="47" spans="1:13" x14ac:dyDescent="0.25">
      <c r="A47" s="194">
        <v>46</v>
      </c>
      <c r="B47" s="195">
        <v>5</v>
      </c>
      <c r="C47" s="195">
        <v>5</v>
      </c>
      <c r="D47" s="195">
        <v>5</v>
      </c>
      <c r="E47" s="195">
        <v>5</v>
      </c>
      <c r="F47" s="195">
        <v>5</v>
      </c>
      <c r="G47" s="195">
        <v>5</v>
      </c>
      <c r="H47" s="195">
        <v>5</v>
      </c>
      <c r="I47" s="195">
        <v>5</v>
      </c>
      <c r="J47" s="195">
        <v>5</v>
      </c>
      <c r="K47" s="195">
        <v>5</v>
      </c>
      <c r="L47" s="195">
        <v>5</v>
      </c>
      <c r="M47" s="196">
        <v>5</v>
      </c>
    </row>
    <row r="48" spans="1:13" x14ac:dyDescent="0.25">
      <c r="A48" s="194">
        <v>47</v>
      </c>
      <c r="B48" s="195">
        <v>5</v>
      </c>
      <c r="C48" s="195">
        <v>5</v>
      </c>
      <c r="D48" s="195">
        <v>5</v>
      </c>
      <c r="E48" s="195">
        <v>5</v>
      </c>
      <c r="F48" s="195">
        <v>5</v>
      </c>
      <c r="G48" s="195">
        <v>5</v>
      </c>
      <c r="H48" s="195">
        <v>5</v>
      </c>
      <c r="I48" s="195">
        <v>5</v>
      </c>
      <c r="J48" s="195">
        <v>5</v>
      </c>
      <c r="K48" s="195">
        <v>5</v>
      </c>
      <c r="L48" s="195">
        <v>5</v>
      </c>
      <c r="M48" s="196">
        <v>5</v>
      </c>
    </row>
    <row r="49" spans="1:13" x14ac:dyDescent="0.25">
      <c r="A49" s="194">
        <v>48</v>
      </c>
      <c r="B49" s="195">
        <v>5</v>
      </c>
      <c r="C49" s="195">
        <v>5</v>
      </c>
      <c r="D49" s="195">
        <v>5</v>
      </c>
      <c r="E49" s="195">
        <v>4</v>
      </c>
      <c r="F49" s="195">
        <v>5</v>
      </c>
      <c r="G49" s="195">
        <v>5</v>
      </c>
      <c r="H49" s="195">
        <v>4</v>
      </c>
      <c r="I49" s="195">
        <v>3</v>
      </c>
      <c r="J49" s="195">
        <v>4</v>
      </c>
      <c r="K49" s="195">
        <v>4</v>
      </c>
      <c r="L49" s="195">
        <v>4</v>
      </c>
      <c r="M49" s="196">
        <v>5</v>
      </c>
    </row>
    <row r="50" spans="1:13" x14ac:dyDescent="0.25">
      <c r="A50" s="194">
        <v>49</v>
      </c>
      <c r="B50" s="195">
        <v>5</v>
      </c>
      <c r="C50" s="195">
        <v>5</v>
      </c>
      <c r="D50" s="195">
        <v>5</v>
      </c>
      <c r="E50" s="195">
        <v>5</v>
      </c>
      <c r="F50" s="195">
        <v>3</v>
      </c>
      <c r="G50" s="195">
        <v>5</v>
      </c>
      <c r="H50" s="195">
        <v>5</v>
      </c>
      <c r="I50" s="195">
        <v>5</v>
      </c>
      <c r="J50" s="195">
        <v>4</v>
      </c>
      <c r="K50" s="195">
        <v>5</v>
      </c>
      <c r="L50" s="195">
        <v>3</v>
      </c>
      <c r="M50" s="196">
        <v>5</v>
      </c>
    </row>
    <row r="51" spans="1:13" x14ac:dyDescent="0.25">
      <c r="A51" s="194">
        <v>50</v>
      </c>
      <c r="B51" s="195">
        <v>5</v>
      </c>
      <c r="C51" s="195">
        <v>5</v>
      </c>
      <c r="D51" s="195">
        <v>5</v>
      </c>
      <c r="E51" s="195">
        <v>5</v>
      </c>
      <c r="F51" s="195">
        <v>5</v>
      </c>
      <c r="G51" s="195">
        <v>5</v>
      </c>
      <c r="H51" s="195">
        <v>5</v>
      </c>
      <c r="I51" s="195">
        <v>5</v>
      </c>
      <c r="J51" s="195">
        <v>5</v>
      </c>
      <c r="K51" s="195">
        <v>5</v>
      </c>
      <c r="L51" s="195">
        <v>5</v>
      </c>
      <c r="M51" s="196">
        <v>5</v>
      </c>
    </row>
    <row r="52" spans="1:13" x14ac:dyDescent="0.25">
      <c r="A52" s="194">
        <v>51</v>
      </c>
      <c r="B52" s="195">
        <v>5</v>
      </c>
      <c r="C52" s="195">
        <v>5</v>
      </c>
      <c r="D52" s="195">
        <v>5</v>
      </c>
      <c r="E52" s="195">
        <v>5</v>
      </c>
      <c r="F52" s="195">
        <v>5</v>
      </c>
      <c r="G52" s="195">
        <v>5</v>
      </c>
      <c r="H52" s="195">
        <v>5</v>
      </c>
      <c r="I52" s="195">
        <v>5</v>
      </c>
      <c r="J52" s="195">
        <v>5</v>
      </c>
      <c r="K52" s="195">
        <v>5</v>
      </c>
      <c r="L52" s="195">
        <v>5</v>
      </c>
      <c r="M52" s="196">
        <v>5</v>
      </c>
    </row>
    <row r="53" spans="1:13" x14ac:dyDescent="0.25">
      <c r="A53" s="194">
        <v>52</v>
      </c>
      <c r="B53" s="195">
        <v>5</v>
      </c>
      <c r="C53" s="195">
        <v>4</v>
      </c>
      <c r="D53" s="195">
        <v>5</v>
      </c>
      <c r="E53" s="195">
        <v>5</v>
      </c>
      <c r="F53" s="195">
        <v>5</v>
      </c>
      <c r="G53" s="195">
        <v>5</v>
      </c>
      <c r="H53" s="195">
        <v>5</v>
      </c>
      <c r="I53" s="195">
        <v>5</v>
      </c>
      <c r="J53" s="195">
        <v>5</v>
      </c>
      <c r="K53" s="195">
        <v>5</v>
      </c>
      <c r="L53" s="195">
        <v>5</v>
      </c>
      <c r="M53" s="196">
        <v>5</v>
      </c>
    </row>
    <row r="54" spans="1:13" x14ac:dyDescent="0.25">
      <c r="A54" s="194">
        <v>53</v>
      </c>
      <c r="B54" s="195">
        <v>5</v>
      </c>
      <c r="C54" s="195">
        <v>5</v>
      </c>
      <c r="D54" s="195">
        <v>5</v>
      </c>
      <c r="E54" s="195">
        <v>5</v>
      </c>
      <c r="F54" s="195">
        <v>5</v>
      </c>
      <c r="G54" s="195">
        <v>5</v>
      </c>
      <c r="H54" s="195">
        <v>5</v>
      </c>
      <c r="I54" s="195">
        <v>5</v>
      </c>
      <c r="J54" s="195">
        <v>5</v>
      </c>
      <c r="K54" s="195">
        <v>5</v>
      </c>
      <c r="L54" s="195">
        <v>5</v>
      </c>
      <c r="M54" s="196">
        <v>5</v>
      </c>
    </row>
    <row r="55" spans="1:13" x14ac:dyDescent="0.25">
      <c r="A55" s="194">
        <v>54</v>
      </c>
      <c r="B55" s="195">
        <v>5</v>
      </c>
      <c r="C55" s="195">
        <v>5</v>
      </c>
      <c r="D55" s="195">
        <v>5</v>
      </c>
      <c r="E55" s="195">
        <v>5</v>
      </c>
      <c r="F55" s="195">
        <v>5</v>
      </c>
      <c r="G55" s="195">
        <v>5</v>
      </c>
      <c r="H55" s="195">
        <v>5</v>
      </c>
      <c r="I55" s="195">
        <v>5</v>
      </c>
      <c r="J55" s="195">
        <v>5</v>
      </c>
      <c r="K55" s="195">
        <v>5</v>
      </c>
      <c r="L55" s="195">
        <v>3</v>
      </c>
      <c r="M55" s="196">
        <v>5</v>
      </c>
    </row>
    <row r="56" spans="1:13" x14ac:dyDescent="0.25">
      <c r="A56" s="194">
        <v>55</v>
      </c>
      <c r="B56" s="195">
        <v>5</v>
      </c>
      <c r="C56" s="195">
        <v>5</v>
      </c>
      <c r="D56" s="195">
        <v>5</v>
      </c>
      <c r="E56" s="195">
        <v>5</v>
      </c>
      <c r="F56" s="195">
        <v>5</v>
      </c>
      <c r="G56" s="195">
        <v>5</v>
      </c>
      <c r="H56" s="195">
        <v>5</v>
      </c>
      <c r="I56" s="195">
        <v>5</v>
      </c>
      <c r="J56" s="195">
        <v>5</v>
      </c>
      <c r="K56" s="195">
        <v>5</v>
      </c>
      <c r="L56" s="195">
        <v>4</v>
      </c>
      <c r="M56" s="196">
        <v>5</v>
      </c>
    </row>
    <row r="57" spans="1:13" x14ac:dyDescent="0.25">
      <c r="A57" s="194">
        <v>56</v>
      </c>
      <c r="B57" s="195">
        <v>5</v>
      </c>
      <c r="C57" s="195">
        <v>5</v>
      </c>
      <c r="D57" s="195">
        <v>5</v>
      </c>
      <c r="E57" s="195">
        <v>5</v>
      </c>
      <c r="F57" s="195">
        <v>5</v>
      </c>
      <c r="G57" s="195">
        <v>5</v>
      </c>
      <c r="H57" s="195">
        <v>5</v>
      </c>
      <c r="I57" s="195">
        <v>5</v>
      </c>
      <c r="J57" s="195">
        <v>5</v>
      </c>
      <c r="K57" s="195">
        <v>5</v>
      </c>
      <c r="L57" s="195">
        <v>3</v>
      </c>
      <c r="M57" s="196">
        <v>5</v>
      </c>
    </row>
    <row r="58" spans="1:13" x14ac:dyDescent="0.25">
      <c r="A58" s="194">
        <v>57</v>
      </c>
      <c r="B58" s="195">
        <v>5</v>
      </c>
      <c r="C58" s="195">
        <v>5</v>
      </c>
      <c r="D58" s="195">
        <v>5</v>
      </c>
      <c r="E58" s="195">
        <v>5</v>
      </c>
      <c r="F58" s="195">
        <v>5</v>
      </c>
      <c r="G58" s="195">
        <v>5</v>
      </c>
      <c r="H58" s="195">
        <v>5</v>
      </c>
      <c r="I58" s="195">
        <v>5</v>
      </c>
      <c r="J58" s="195">
        <v>5</v>
      </c>
      <c r="K58" s="195">
        <v>5</v>
      </c>
      <c r="L58" s="195">
        <v>5</v>
      </c>
      <c r="M58" s="196">
        <v>5</v>
      </c>
    </row>
    <row r="59" spans="1:13" x14ac:dyDescent="0.25">
      <c r="A59" s="194">
        <v>58</v>
      </c>
      <c r="B59" s="195">
        <v>5</v>
      </c>
      <c r="C59" s="195">
        <v>5</v>
      </c>
      <c r="D59" s="195">
        <v>5</v>
      </c>
      <c r="E59" s="195">
        <v>5</v>
      </c>
      <c r="F59" s="195">
        <v>5</v>
      </c>
      <c r="G59" s="195">
        <v>5</v>
      </c>
      <c r="H59" s="195">
        <v>5</v>
      </c>
      <c r="I59" s="195">
        <v>5</v>
      </c>
      <c r="J59" s="195">
        <v>5</v>
      </c>
      <c r="K59" s="195">
        <v>5</v>
      </c>
      <c r="L59" s="195">
        <v>5</v>
      </c>
      <c r="M59" s="196">
        <v>5</v>
      </c>
    </row>
    <row r="60" spans="1:13" x14ac:dyDescent="0.25">
      <c r="A60" s="194">
        <v>59</v>
      </c>
      <c r="B60" s="195">
        <v>5</v>
      </c>
      <c r="C60" s="195">
        <v>5</v>
      </c>
      <c r="D60" s="195">
        <v>5</v>
      </c>
      <c r="E60" s="195">
        <v>5</v>
      </c>
      <c r="F60" s="195">
        <v>5</v>
      </c>
      <c r="G60" s="195">
        <v>5</v>
      </c>
      <c r="H60" s="195">
        <v>5</v>
      </c>
      <c r="I60" s="195">
        <v>5</v>
      </c>
      <c r="J60" s="195">
        <v>5</v>
      </c>
      <c r="K60" s="195">
        <v>5</v>
      </c>
      <c r="L60" s="195">
        <v>5</v>
      </c>
      <c r="M60" s="196">
        <v>5</v>
      </c>
    </row>
    <row r="61" spans="1:13" x14ac:dyDescent="0.25">
      <c r="A61" s="194">
        <v>60</v>
      </c>
      <c r="B61" s="195">
        <v>5</v>
      </c>
      <c r="C61" s="195">
        <v>5</v>
      </c>
      <c r="D61" s="195">
        <v>5</v>
      </c>
      <c r="E61" s="195">
        <v>4</v>
      </c>
      <c r="F61" s="195">
        <v>5</v>
      </c>
      <c r="G61" s="195">
        <v>4</v>
      </c>
      <c r="H61" s="195">
        <v>5</v>
      </c>
      <c r="I61" s="195">
        <v>5</v>
      </c>
      <c r="J61" s="195">
        <v>5</v>
      </c>
      <c r="K61" s="195">
        <v>5</v>
      </c>
      <c r="L61" s="195">
        <v>5</v>
      </c>
      <c r="M61" s="196">
        <v>5</v>
      </c>
    </row>
    <row r="62" spans="1:13" x14ac:dyDescent="0.25">
      <c r="A62" s="194">
        <v>61</v>
      </c>
      <c r="B62" s="195">
        <v>5</v>
      </c>
      <c r="C62" s="195">
        <v>5</v>
      </c>
      <c r="D62" s="195">
        <v>5</v>
      </c>
      <c r="E62" s="195">
        <v>5</v>
      </c>
      <c r="F62" s="195">
        <v>5</v>
      </c>
      <c r="G62" s="195">
        <v>5</v>
      </c>
      <c r="H62" s="195">
        <v>5</v>
      </c>
      <c r="I62" s="195">
        <v>5</v>
      </c>
      <c r="J62" s="195">
        <v>5</v>
      </c>
      <c r="K62" s="195">
        <v>5</v>
      </c>
      <c r="L62" s="195">
        <v>5</v>
      </c>
      <c r="M62" s="196">
        <v>5</v>
      </c>
    </row>
    <row r="63" spans="1:13" x14ac:dyDescent="0.25">
      <c r="A63" s="194">
        <v>62</v>
      </c>
      <c r="B63" s="195">
        <v>5</v>
      </c>
      <c r="C63" s="195">
        <v>5</v>
      </c>
      <c r="D63" s="195">
        <v>5</v>
      </c>
      <c r="E63" s="195">
        <v>5</v>
      </c>
      <c r="F63" s="195">
        <v>5</v>
      </c>
      <c r="G63" s="195">
        <v>5</v>
      </c>
      <c r="H63" s="195">
        <v>5</v>
      </c>
      <c r="I63" s="195">
        <v>5</v>
      </c>
      <c r="J63" s="195">
        <v>5</v>
      </c>
      <c r="K63" s="195">
        <v>5</v>
      </c>
      <c r="L63" s="195">
        <v>5</v>
      </c>
      <c r="M63" s="196">
        <v>5</v>
      </c>
    </row>
    <row r="64" spans="1:13" x14ac:dyDescent="0.25">
      <c r="A64" s="194">
        <v>63</v>
      </c>
      <c r="B64" s="195">
        <v>5</v>
      </c>
      <c r="C64" s="195">
        <v>5</v>
      </c>
      <c r="D64" s="195">
        <v>5</v>
      </c>
      <c r="E64" s="195">
        <v>5</v>
      </c>
      <c r="F64" s="195">
        <v>5</v>
      </c>
      <c r="G64" s="195">
        <v>5</v>
      </c>
      <c r="H64" s="195">
        <v>5</v>
      </c>
      <c r="I64" s="195">
        <v>5</v>
      </c>
      <c r="J64" s="195">
        <v>5</v>
      </c>
      <c r="K64" s="195">
        <v>5</v>
      </c>
      <c r="L64" s="195">
        <v>3</v>
      </c>
      <c r="M64" s="196">
        <v>5</v>
      </c>
    </row>
    <row r="65" spans="1:13" x14ac:dyDescent="0.25">
      <c r="A65" s="194">
        <v>64</v>
      </c>
      <c r="B65" s="195">
        <v>5</v>
      </c>
      <c r="C65" s="195">
        <v>5</v>
      </c>
      <c r="D65" s="195">
        <v>5</v>
      </c>
      <c r="E65" s="195">
        <v>5</v>
      </c>
      <c r="F65" s="195">
        <v>5</v>
      </c>
      <c r="G65" s="195">
        <v>5</v>
      </c>
      <c r="H65" s="195">
        <v>5</v>
      </c>
      <c r="I65" s="195">
        <v>5</v>
      </c>
      <c r="J65" s="195">
        <v>5</v>
      </c>
      <c r="K65" s="195">
        <v>5</v>
      </c>
      <c r="L65" s="195">
        <v>5</v>
      </c>
      <c r="M65" s="196">
        <v>5</v>
      </c>
    </row>
    <row r="66" spans="1:13" x14ac:dyDescent="0.25">
      <c r="A66" s="194">
        <v>65</v>
      </c>
      <c r="B66" s="195">
        <v>5</v>
      </c>
      <c r="C66" s="195">
        <v>5</v>
      </c>
      <c r="D66" s="195">
        <v>5</v>
      </c>
      <c r="E66" s="195">
        <v>5</v>
      </c>
      <c r="F66" s="195">
        <v>5</v>
      </c>
      <c r="G66" s="195">
        <v>5</v>
      </c>
      <c r="H66" s="195">
        <v>5</v>
      </c>
      <c r="I66" s="195">
        <v>5</v>
      </c>
      <c r="J66" s="195">
        <v>5</v>
      </c>
      <c r="K66" s="195">
        <v>5</v>
      </c>
      <c r="L66" s="195">
        <v>4</v>
      </c>
      <c r="M66" s="196">
        <v>5</v>
      </c>
    </row>
    <row r="67" spans="1:13" x14ac:dyDescent="0.25">
      <c r="A67" s="194">
        <v>66</v>
      </c>
      <c r="B67" s="195">
        <v>5</v>
      </c>
      <c r="C67" s="195">
        <v>5</v>
      </c>
      <c r="D67" s="195">
        <v>5</v>
      </c>
      <c r="E67" s="195">
        <v>5</v>
      </c>
      <c r="F67" s="195">
        <v>5</v>
      </c>
      <c r="G67" s="195">
        <v>5</v>
      </c>
      <c r="H67" s="195">
        <v>5</v>
      </c>
      <c r="I67" s="195">
        <v>5</v>
      </c>
      <c r="J67" s="195">
        <v>5</v>
      </c>
      <c r="K67" s="195">
        <v>5</v>
      </c>
      <c r="L67" s="195">
        <v>5</v>
      </c>
      <c r="M67" s="196">
        <v>5</v>
      </c>
    </row>
    <row r="68" spans="1:13" x14ac:dyDescent="0.25">
      <c r="A68" s="194">
        <v>67</v>
      </c>
      <c r="B68" s="195">
        <v>5</v>
      </c>
      <c r="C68" s="195">
        <v>5</v>
      </c>
      <c r="D68" s="195">
        <v>4</v>
      </c>
      <c r="E68" s="195">
        <v>4</v>
      </c>
      <c r="F68" s="195">
        <v>5</v>
      </c>
      <c r="G68" s="195">
        <v>5</v>
      </c>
      <c r="H68" s="195">
        <v>4</v>
      </c>
      <c r="I68" s="195">
        <v>4</v>
      </c>
      <c r="J68" s="195">
        <v>4</v>
      </c>
      <c r="K68" s="195">
        <v>2</v>
      </c>
      <c r="L68" s="195">
        <v>4</v>
      </c>
      <c r="M68" s="196">
        <v>5</v>
      </c>
    </row>
    <row r="69" spans="1:13" x14ac:dyDescent="0.25">
      <c r="A69" s="194">
        <v>68</v>
      </c>
      <c r="B69" s="195">
        <v>5</v>
      </c>
      <c r="C69" s="195">
        <v>5</v>
      </c>
      <c r="D69" s="195">
        <v>5</v>
      </c>
      <c r="E69" s="195">
        <v>5</v>
      </c>
      <c r="F69" s="195">
        <v>5</v>
      </c>
      <c r="G69" s="195">
        <v>4</v>
      </c>
      <c r="H69" s="195">
        <v>5</v>
      </c>
      <c r="I69" s="195">
        <v>5</v>
      </c>
      <c r="J69" s="195">
        <v>5</v>
      </c>
      <c r="K69" s="195">
        <v>5</v>
      </c>
      <c r="L69" s="195">
        <v>5</v>
      </c>
      <c r="M69" s="196">
        <v>5</v>
      </c>
    </row>
    <row r="70" spans="1:13" x14ac:dyDescent="0.25">
      <c r="A70" s="194">
        <v>69</v>
      </c>
      <c r="B70" s="195">
        <v>5</v>
      </c>
      <c r="C70" s="195">
        <v>5</v>
      </c>
      <c r="D70" s="195">
        <v>5</v>
      </c>
      <c r="E70" s="195">
        <v>5</v>
      </c>
      <c r="F70" s="195">
        <v>5</v>
      </c>
      <c r="G70" s="195">
        <v>5</v>
      </c>
      <c r="H70" s="195">
        <v>5</v>
      </c>
      <c r="I70" s="195">
        <v>5</v>
      </c>
      <c r="J70" s="195">
        <v>5</v>
      </c>
      <c r="K70" s="195">
        <v>5</v>
      </c>
      <c r="L70" s="195">
        <v>5</v>
      </c>
      <c r="M70" s="196">
        <v>5</v>
      </c>
    </row>
    <row r="71" spans="1:13" x14ac:dyDescent="0.25">
      <c r="A71" s="194">
        <v>70</v>
      </c>
      <c r="B71" s="195">
        <v>5</v>
      </c>
      <c r="C71" s="195">
        <v>5</v>
      </c>
      <c r="D71" s="195">
        <v>5</v>
      </c>
      <c r="E71" s="195">
        <v>5</v>
      </c>
      <c r="F71" s="195">
        <v>5</v>
      </c>
      <c r="G71" s="195">
        <v>4</v>
      </c>
      <c r="H71" s="195">
        <v>5</v>
      </c>
      <c r="I71" s="195">
        <v>5</v>
      </c>
      <c r="J71" s="195">
        <v>5</v>
      </c>
      <c r="K71" s="195">
        <v>5</v>
      </c>
      <c r="L71" s="195">
        <v>5</v>
      </c>
      <c r="M71" s="196">
        <v>5</v>
      </c>
    </row>
    <row r="72" spans="1:13" x14ac:dyDescent="0.25">
      <c r="A72" s="194">
        <v>71</v>
      </c>
      <c r="B72" s="195">
        <v>5</v>
      </c>
      <c r="C72" s="195">
        <v>5</v>
      </c>
      <c r="D72" s="195">
        <v>5</v>
      </c>
      <c r="E72" s="195">
        <v>5</v>
      </c>
      <c r="F72" s="195">
        <v>5</v>
      </c>
      <c r="G72" s="195">
        <v>5</v>
      </c>
      <c r="H72" s="195">
        <v>5</v>
      </c>
      <c r="I72" s="195">
        <v>5</v>
      </c>
      <c r="J72" s="195">
        <v>5</v>
      </c>
      <c r="K72" s="195">
        <v>5</v>
      </c>
      <c r="L72" s="195">
        <v>3</v>
      </c>
      <c r="M72" s="196">
        <v>5</v>
      </c>
    </row>
    <row r="73" spans="1:13" x14ac:dyDescent="0.25">
      <c r="A73" s="194">
        <v>72</v>
      </c>
      <c r="B73" s="195">
        <v>5</v>
      </c>
      <c r="C73" s="195">
        <v>5</v>
      </c>
      <c r="D73" s="195">
        <v>4</v>
      </c>
      <c r="E73" s="195">
        <v>5</v>
      </c>
      <c r="F73" s="195">
        <v>4</v>
      </c>
      <c r="G73" s="195">
        <v>4</v>
      </c>
      <c r="H73" s="195">
        <v>4</v>
      </c>
      <c r="I73" s="195">
        <v>4</v>
      </c>
      <c r="J73" s="195">
        <v>2</v>
      </c>
      <c r="K73" s="195">
        <v>4</v>
      </c>
      <c r="L73" s="195">
        <v>5</v>
      </c>
      <c r="M73" s="196">
        <v>5</v>
      </c>
    </row>
    <row r="74" spans="1:13" x14ac:dyDescent="0.25">
      <c r="A74" s="194">
        <v>73</v>
      </c>
      <c r="B74" s="195">
        <v>5</v>
      </c>
      <c r="C74" s="195">
        <v>5</v>
      </c>
      <c r="D74" s="195">
        <v>5</v>
      </c>
      <c r="E74" s="195">
        <v>5</v>
      </c>
      <c r="F74" s="195">
        <v>5</v>
      </c>
      <c r="G74" s="195">
        <v>5</v>
      </c>
      <c r="H74" s="195">
        <v>5</v>
      </c>
      <c r="I74" s="195">
        <v>3</v>
      </c>
      <c r="J74" s="195">
        <v>5</v>
      </c>
      <c r="K74" s="195">
        <v>5</v>
      </c>
      <c r="L74" s="195">
        <v>5</v>
      </c>
      <c r="M74" s="196">
        <v>5</v>
      </c>
    </row>
    <row r="75" spans="1:13" x14ac:dyDescent="0.25">
      <c r="A75" s="194">
        <v>74</v>
      </c>
      <c r="B75" s="195">
        <v>5</v>
      </c>
      <c r="C75" s="195">
        <v>5</v>
      </c>
      <c r="D75" s="195">
        <v>5</v>
      </c>
      <c r="E75" s="195">
        <v>5</v>
      </c>
      <c r="F75" s="195">
        <v>5</v>
      </c>
      <c r="G75" s="195">
        <v>5</v>
      </c>
      <c r="H75" s="195">
        <v>5</v>
      </c>
      <c r="I75" s="195">
        <v>5</v>
      </c>
      <c r="J75" s="195">
        <v>5</v>
      </c>
      <c r="K75" s="195">
        <v>5</v>
      </c>
      <c r="L75" s="195">
        <v>5</v>
      </c>
      <c r="M75" s="196">
        <v>5</v>
      </c>
    </row>
    <row r="76" spans="1:13" x14ac:dyDescent="0.25">
      <c r="A76" s="194">
        <v>75</v>
      </c>
      <c r="B76" s="195">
        <v>5</v>
      </c>
      <c r="C76" s="195">
        <v>5</v>
      </c>
      <c r="D76" s="195">
        <v>5</v>
      </c>
      <c r="E76" s="195">
        <v>5</v>
      </c>
      <c r="F76" s="195">
        <v>5</v>
      </c>
      <c r="G76" s="195">
        <v>5</v>
      </c>
      <c r="H76" s="195">
        <v>5</v>
      </c>
      <c r="I76" s="195">
        <v>5</v>
      </c>
      <c r="J76" s="195">
        <v>5</v>
      </c>
      <c r="K76" s="195">
        <v>5</v>
      </c>
      <c r="L76" s="195">
        <v>5</v>
      </c>
      <c r="M76" s="196">
        <v>5</v>
      </c>
    </row>
    <row r="77" spans="1:13" x14ac:dyDescent="0.25">
      <c r="A77" s="194">
        <v>76</v>
      </c>
      <c r="B77" s="195">
        <v>5</v>
      </c>
      <c r="C77" s="195">
        <v>5</v>
      </c>
      <c r="D77" s="195">
        <v>5</v>
      </c>
      <c r="E77" s="195">
        <v>5</v>
      </c>
      <c r="F77" s="195">
        <v>5</v>
      </c>
      <c r="G77" s="195">
        <v>5</v>
      </c>
      <c r="H77" s="195">
        <v>5</v>
      </c>
      <c r="I77" s="195">
        <v>5</v>
      </c>
      <c r="J77" s="195">
        <v>5</v>
      </c>
      <c r="K77" s="195">
        <v>5</v>
      </c>
      <c r="L77" s="195">
        <v>5</v>
      </c>
      <c r="M77" s="196">
        <v>5</v>
      </c>
    </row>
    <row r="78" spans="1:13" x14ac:dyDescent="0.25">
      <c r="A78" s="194">
        <v>77</v>
      </c>
      <c r="B78" s="195">
        <v>5</v>
      </c>
      <c r="C78" s="195">
        <v>5</v>
      </c>
      <c r="D78" s="195">
        <v>5</v>
      </c>
      <c r="E78" s="195">
        <v>5</v>
      </c>
      <c r="F78" s="195">
        <v>5</v>
      </c>
      <c r="G78" s="195">
        <v>5</v>
      </c>
      <c r="H78" s="195">
        <v>5</v>
      </c>
      <c r="I78" s="195">
        <v>5</v>
      </c>
      <c r="J78" s="195">
        <v>5</v>
      </c>
      <c r="K78" s="195">
        <v>5</v>
      </c>
      <c r="L78" s="195">
        <v>5</v>
      </c>
      <c r="M78" s="196">
        <v>5</v>
      </c>
    </row>
    <row r="79" spans="1:13" x14ac:dyDescent="0.25">
      <c r="A79" s="194">
        <v>78</v>
      </c>
      <c r="B79" s="195">
        <v>5</v>
      </c>
      <c r="C79" s="195">
        <v>5</v>
      </c>
      <c r="D79" s="195">
        <v>5</v>
      </c>
      <c r="E79" s="195">
        <v>5</v>
      </c>
      <c r="F79" s="195">
        <v>5</v>
      </c>
      <c r="G79" s="195">
        <v>5</v>
      </c>
      <c r="H79" s="195">
        <v>5</v>
      </c>
      <c r="I79" s="195">
        <v>5</v>
      </c>
      <c r="J79" s="195">
        <v>5</v>
      </c>
      <c r="K79" s="195">
        <v>5</v>
      </c>
      <c r="L79" s="195">
        <v>5</v>
      </c>
      <c r="M79" s="196">
        <v>5</v>
      </c>
    </row>
    <row r="80" spans="1:13" x14ac:dyDescent="0.25">
      <c r="A80" s="194">
        <v>79</v>
      </c>
      <c r="B80" s="195">
        <v>5</v>
      </c>
      <c r="C80" s="195">
        <v>5</v>
      </c>
      <c r="D80" s="195">
        <v>5</v>
      </c>
      <c r="E80" s="195">
        <v>5</v>
      </c>
      <c r="F80" s="195">
        <v>5</v>
      </c>
      <c r="G80" s="195">
        <v>5</v>
      </c>
      <c r="H80" s="195">
        <v>5</v>
      </c>
      <c r="I80" s="195">
        <v>5</v>
      </c>
      <c r="J80" s="195">
        <v>5</v>
      </c>
      <c r="K80" s="195">
        <v>5</v>
      </c>
      <c r="L80" s="195">
        <v>5</v>
      </c>
      <c r="M80" s="196">
        <v>5</v>
      </c>
    </row>
    <row r="81" spans="1:13" x14ac:dyDescent="0.25">
      <c r="A81" s="194">
        <v>80</v>
      </c>
      <c r="B81" s="195">
        <v>5</v>
      </c>
      <c r="C81" s="195">
        <v>5</v>
      </c>
      <c r="D81" s="195">
        <v>5</v>
      </c>
      <c r="E81" s="195">
        <v>5</v>
      </c>
      <c r="F81" s="195">
        <v>5</v>
      </c>
      <c r="G81" s="195">
        <v>5</v>
      </c>
      <c r="H81" s="195">
        <v>5</v>
      </c>
      <c r="I81" s="195">
        <v>5</v>
      </c>
      <c r="J81" s="195">
        <v>5</v>
      </c>
      <c r="K81" s="195">
        <v>5</v>
      </c>
      <c r="L81" s="195">
        <v>5</v>
      </c>
      <c r="M81" s="196">
        <v>5</v>
      </c>
    </row>
    <row r="82" spans="1:13" x14ac:dyDescent="0.25">
      <c r="A82" s="194">
        <v>81</v>
      </c>
      <c r="B82" s="195">
        <v>5</v>
      </c>
      <c r="C82" s="195">
        <v>5</v>
      </c>
      <c r="D82" s="195">
        <v>5</v>
      </c>
      <c r="E82" s="195">
        <v>5</v>
      </c>
      <c r="F82" s="195">
        <v>5</v>
      </c>
      <c r="G82" s="195">
        <v>5</v>
      </c>
      <c r="H82" s="195">
        <v>5</v>
      </c>
      <c r="I82" s="195">
        <v>5</v>
      </c>
      <c r="J82" s="195">
        <v>5</v>
      </c>
      <c r="K82" s="195">
        <v>5</v>
      </c>
      <c r="L82" s="195">
        <v>5</v>
      </c>
      <c r="M82" s="196">
        <v>5</v>
      </c>
    </row>
    <row r="83" spans="1:13" x14ac:dyDescent="0.25">
      <c r="A83" s="194">
        <v>82</v>
      </c>
      <c r="B83" s="195">
        <v>5</v>
      </c>
      <c r="C83" s="195">
        <v>5</v>
      </c>
      <c r="D83" s="195">
        <v>5</v>
      </c>
      <c r="E83" s="195">
        <v>5</v>
      </c>
      <c r="F83" s="195">
        <v>5</v>
      </c>
      <c r="G83" s="195">
        <v>5</v>
      </c>
      <c r="H83" s="195">
        <v>5</v>
      </c>
      <c r="I83" s="195">
        <v>5</v>
      </c>
      <c r="J83" s="195">
        <v>5</v>
      </c>
      <c r="K83" s="195">
        <v>5</v>
      </c>
      <c r="L83" s="195">
        <v>3</v>
      </c>
      <c r="M83" s="196">
        <v>5</v>
      </c>
    </row>
    <row r="84" spans="1:13" x14ac:dyDescent="0.25">
      <c r="A84" s="194">
        <v>83</v>
      </c>
      <c r="B84" s="195">
        <v>5</v>
      </c>
      <c r="C84" s="195">
        <v>5</v>
      </c>
      <c r="D84" s="195">
        <v>5</v>
      </c>
      <c r="E84" s="195">
        <v>5</v>
      </c>
      <c r="F84" s="195">
        <v>5</v>
      </c>
      <c r="G84" s="195">
        <v>5</v>
      </c>
      <c r="H84" s="195">
        <v>5</v>
      </c>
      <c r="I84" s="195">
        <v>5</v>
      </c>
      <c r="J84" s="195">
        <v>5</v>
      </c>
      <c r="K84" s="195">
        <v>5</v>
      </c>
      <c r="L84" s="195">
        <v>5</v>
      </c>
      <c r="M84" s="196">
        <v>5</v>
      </c>
    </row>
    <row r="85" spans="1:13" x14ac:dyDescent="0.25">
      <c r="A85" s="194">
        <v>84</v>
      </c>
      <c r="B85" s="195">
        <v>5</v>
      </c>
      <c r="C85" s="195">
        <v>5</v>
      </c>
      <c r="D85" s="195">
        <v>5</v>
      </c>
      <c r="E85" s="195">
        <v>5</v>
      </c>
      <c r="F85" s="195">
        <v>5</v>
      </c>
      <c r="G85" s="195">
        <v>4</v>
      </c>
      <c r="H85" s="195">
        <v>5</v>
      </c>
      <c r="I85" s="195">
        <v>5</v>
      </c>
      <c r="J85" s="195">
        <v>5</v>
      </c>
      <c r="K85" s="195">
        <v>5</v>
      </c>
      <c r="L85" s="195">
        <v>5</v>
      </c>
      <c r="M85" s="196">
        <v>5</v>
      </c>
    </row>
    <row r="86" spans="1:13" x14ac:dyDescent="0.25">
      <c r="A86" s="194">
        <v>85</v>
      </c>
      <c r="B86" s="195">
        <v>5</v>
      </c>
      <c r="C86" s="195">
        <v>5</v>
      </c>
      <c r="D86" s="195">
        <v>5</v>
      </c>
      <c r="E86" s="195">
        <v>5</v>
      </c>
      <c r="F86" s="195">
        <v>5</v>
      </c>
      <c r="G86" s="195">
        <v>5</v>
      </c>
      <c r="H86" s="195">
        <v>5</v>
      </c>
      <c r="I86" s="195">
        <v>5</v>
      </c>
      <c r="J86" s="195">
        <v>5</v>
      </c>
      <c r="K86" s="195">
        <v>5</v>
      </c>
      <c r="L86" s="195">
        <v>4</v>
      </c>
      <c r="M86" s="196">
        <v>5</v>
      </c>
    </row>
    <row r="87" spans="1:13" x14ac:dyDescent="0.25">
      <c r="A87" s="194">
        <v>86</v>
      </c>
      <c r="B87" s="195">
        <v>5</v>
      </c>
      <c r="C87" s="195">
        <v>5</v>
      </c>
      <c r="D87" s="195">
        <v>5</v>
      </c>
      <c r="E87" s="195">
        <v>5</v>
      </c>
      <c r="F87" s="195">
        <v>5</v>
      </c>
      <c r="G87" s="195">
        <v>5</v>
      </c>
      <c r="H87" s="195">
        <v>5</v>
      </c>
      <c r="I87" s="195">
        <v>5</v>
      </c>
      <c r="J87" s="195">
        <v>5</v>
      </c>
      <c r="K87" s="195">
        <v>5</v>
      </c>
      <c r="L87" s="195">
        <v>5</v>
      </c>
      <c r="M87" s="196">
        <v>5</v>
      </c>
    </row>
    <row r="88" spans="1:13" x14ac:dyDescent="0.25">
      <c r="A88" s="194">
        <v>87</v>
      </c>
      <c r="B88" s="195">
        <v>5</v>
      </c>
      <c r="C88" s="195">
        <v>5</v>
      </c>
      <c r="D88" s="195">
        <v>5</v>
      </c>
      <c r="E88" s="195">
        <v>5</v>
      </c>
      <c r="F88" s="195">
        <v>5</v>
      </c>
      <c r="G88" s="195">
        <v>5</v>
      </c>
      <c r="H88" s="195">
        <v>5</v>
      </c>
      <c r="I88" s="195">
        <v>4</v>
      </c>
      <c r="J88" s="195">
        <v>5</v>
      </c>
      <c r="K88" s="195">
        <v>4</v>
      </c>
      <c r="L88" s="195">
        <v>5</v>
      </c>
      <c r="M88" s="196">
        <v>5</v>
      </c>
    </row>
    <row r="89" spans="1:13" x14ac:dyDescent="0.25">
      <c r="A89" s="194">
        <v>88</v>
      </c>
      <c r="B89" s="195">
        <v>5</v>
      </c>
      <c r="C89" s="195">
        <v>5</v>
      </c>
      <c r="D89" s="195">
        <v>5</v>
      </c>
      <c r="E89" s="195">
        <v>5</v>
      </c>
      <c r="F89" s="195">
        <v>5</v>
      </c>
      <c r="G89" s="195">
        <v>5</v>
      </c>
      <c r="H89" s="195">
        <v>5</v>
      </c>
      <c r="I89" s="195">
        <v>5</v>
      </c>
      <c r="J89" s="195">
        <v>5</v>
      </c>
      <c r="K89" s="195">
        <v>5</v>
      </c>
      <c r="L89" s="195">
        <v>5</v>
      </c>
      <c r="M89" s="196">
        <v>5</v>
      </c>
    </row>
    <row r="90" spans="1:13" x14ac:dyDescent="0.25">
      <c r="A90" s="194">
        <v>89</v>
      </c>
      <c r="B90" s="195">
        <v>5</v>
      </c>
      <c r="C90" s="195">
        <v>5</v>
      </c>
      <c r="D90" s="195">
        <v>5</v>
      </c>
      <c r="E90" s="195">
        <v>5</v>
      </c>
      <c r="F90" s="195">
        <v>5</v>
      </c>
      <c r="G90" s="195">
        <v>5</v>
      </c>
      <c r="H90" s="195">
        <v>5</v>
      </c>
      <c r="I90" s="195">
        <v>5</v>
      </c>
      <c r="J90" s="195">
        <v>5</v>
      </c>
      <c r="K90" s="195">
        <v>5</v>
      </c>
      <c r="L90" s="195">
        <v>5</v>
      </c>
      <c r="M90" s="196">
        <v>5</v>
      </c>
    </row>
    <row r="91" spans="1:13" x14ac:dyDescent="0.25">
      <c r="A91" s="194">
        <v>90</v>
      </c>
      <c r="B91" s="195">
        <v>5</v>
      </c>
      <c r="C91" s="195">
        <v>5</v>
      </c>
      <c r="D91" s="195">
        <v>5</v>
      </c>
      <c r="E91" s="195">
        <v>4</v>
      </c>
      <c r="F91" s="195">
        <v>5</v>
      </c>
      <c r="G91" s="195">
        <v>5</v>
      </c>
      <c r="H91" s="195">
        <v>4</v>
      </c>
      <c r="I91" s="195">
        <v>5</v>
      </c>
      <c r="J91" s="195">
        <v>5</v>
      </c>
      <c r="K91" s="195">
        <v>5</v>
      </c>
      <c r="L91" s="195">
        <v>3</v>
      </c>
      <c r="M91" s="196">
        <v>5</v>
      </c>
    </row>
    <row r="92" spans="1:13" x14ac:dyDescent="0.25">
      <c r="A92" s="194">
        <v>91</v>
      </c>
      <c r="B92" s="195">
        <v>5</v>
      </c>
      <c r="C92" s="195">
        <v>5</v>
      </c>
      <c r="D92" s="195">
        <v>5</v>
      </c>
      <c r="E92" s="195">
        <v>3</v>
      </c>
      <c r="F92" s="195">
        <v>5</v>
      </c>
      <c r="G92" s="195">
        <v>5</v>
      </c>
      <c r="H92" s="195">
        <v>5</v>
      </c>
      <c r="I92" s="195">
        <v>4</v>
      </c>
      <c r="J92" s="195">
        <v>5</v>
      </c>
      <c r="K92" s="195">
        <v>5</v>
      </c>
      <c r="L92" s="195">
        <v>5</v>
      </c>
      <c r="M92" s="196">
        <v>5</v>
      </c>
    </row>
    <row r="93" spans="1:13" x14ac:dyDescent="0.25">
      <c r="A93" s="194">
        <v>92</v>
      </c>
      <c r="B93" s="195">
        <v>5</v>
      </c>
      <c r="C93" s="195">
        <v>5</v>
      </c>
      <c r="D93" s="195">
        <v>5</v>
      </c>
      <c r="E93" s="195">
        <v>5</v>
      </c>
      <c r="F93" s="195">
        <v>5</v>
      </c>
      <c r="G93" s="195">
        <v>5</v>
      </c>
      <c r="H93" s="195">
        <v>5</v>
      </c>
      <c r="I93" s="195">
        <v>5</v>
      </c>
      <c r="J93" s="195">
        <v>5</v>
      </c>
      <c r="K93" s="195">
        <v>5</v>
      </c>
      <c r="L93" s="195">
        <v>5</v>
      </c>
      <c r="M93" s="196">
        <v>5</v>
      </c>
    </row>
    <row r="94" spans="1:13" x14ac:dyDescent="0.25">
      <c r="A94" s="194">
        <v>93</v>
      </c>
      <c r="B94" s="195">
        <v>5</v>
      </c>
      <c r="C94" s="195">
        <v>4</v>
      </c>
      <c r="D94" s="195">
        <v>4</v>
      </c>
      <c r="E94" s="195">
        <v>3</v>
      </c>
      <c r="F94" s="195">
        <v>5</v>
      </c>
      <c r="G94" s="195">
        <v>5</v>
      </c>
      <c r="H94" s="195">
        <v>2</v>
      </c>
      <c r="I94" s="195">
        <v>3</v>
      </c>
      <c r="J94" s="195">
        <v>5</v>
      </c>
      <c r="K94" s="195">
        <v>3</v>
      </c>
      <c r="L94" s="195">
        <v>4</v>
      </c>
      <c r="M94" s="196">
        <v>5</v>
      </c>
    </row>
    <row r="95" spans="1:13" x14ac:dyDescent="0.25">
      <c r="A95" s="194">
        <v>94</v>
      </c>
      <c r="B95" s="195">
        <v>5</v>
      </c>
      <c r="C95" s="195">
        <v>5</v>
      </c>
      <c r="D95" s="195">
        <v>5</v>
      </c>
      <c r="E95" s="195">
        <v>5</v>
      </c>
      <c r="F95" s="195">
        <v>5</v>
      </c>
      <c r="G95" s="195">
        <v>5</v>
      </c>
      <c r="H95" s="195">
        <v>5</v>
      </c>
      <c r="I95" s="195">
        <v>5</v>
      </c>
      <c r="J95" s="195">
        <v>5</v>
      </c>
      <c r="K95" s="195">
        <v>5</v>
      </c>
      <c r="L95" s="195">
        <v>5</v>
      </c>
      <c r="M95" s="196">
        <v>5</v>
      </c>
    </row>
    <row r="96" spans="1:13" x14ac:dyDescent="0.25">
      <c r="A96" s="194">
        <v>95</v>
      </c>
      <c r="B96" s="195">
        <v>5</v>
      </c>
      <c r="C96" s="195">
        <v>5</v>
      </c>
      <c r="D96" s="195">
        <v>5</v>
      </c>
      <c r="E96" s="195">
        <v>3</v>
      </c>
      <c r="F96" s="195">
        <v>5</v>
      </c>
      <c r="G96" s="195">
        <v>5</v>
      </c>
      <c r="H96" s="195">
        <v>5</v>
      </c>
      <c r="I96" s="195">
        <v>5</v>
      </c>
      <c r="J96" s="195">
        <v>5</v>
      </c>
      <c r="K96" s="195">
        <v>5</v>
      </c>
      <c r="L96" s="195">
        <v>4</v>
      </c>
      <c r="M96" s="196">
        <v>5</v>
      </c>
    </row>
    <row r="97" spans="1:13" x14ac:dyDescent="0.25">
      <c r="A97" s="194">
        <v>96</v>
      </c>
      <c r="B97" s="195">
        <v>5</v>
      </c>
      <c r="C97" s="195">
        <v>5</v>
      </c>
      <c r="D97" s="195">
        <v>5</v>
      </c>
      <c r="E97" s="195">
        <v>5</v>
      </c>
      <c r="F97" s="195">
        <v>5</v>
      </c>
      <c r="G97" s="195">
        <v>5</v>
      </c>
      <c r="H97" s="195">
        <v>5</v>
      </c>
      <c r="I97" s="195">
        <v>5</v>
      </c>
      <c r="J97" s="195">
        <v>5</v>
      </c>
      <c r="K97" s="195">
        <v>5</v>
      </c>
      <c r="L97" s="195">
        <v>5</v>
      </c>
      <c r="M97" s="196">
        <v>5</v>
      </c>
    </row>
    <row r="98" spans="1:13" x14ac:dyDescent="0.25">
      <c r="A98" s="194">
        <v>97</v>
      </c>
      <c r="B98" s="195">
        <v>5</v>
      </c>
      <c r="C98" s="195">
        <v>5</v>
      </c>
      <c r="D98" s="195">
        <v>5</v>
      </c>
      <c r="E98" s="195">
        <v>5</v>
      </c>
      <c r="F98" s="195">
        <v>5</v>
      </c>
      <c r="G98" s="195">
        <v>5</v>
      </c>
      <c r="H98" s="195">
        <v>4</v>
      </c>
      <c r="I98" s="195">
        <v>5</v>
      </c>
      <c r="J98" s="195">
        <v>5</v>
      </c>
      <c r="K98" s="195">
        <v>5</v>
      </c>
      <c r="L98" s="195">
        <v>4</v>
      </c>
      <c r="M98" s="196">
        <v>5</v>
      </c>
    </row>
    <row r="99" spans="1:13" x14ac:dyDescent="0.25">
      <c r="A99" s="194">
        <v>98</v>
      </c>
      <c r="B99" s="195">
        <v>5</v>
      </c>
      <c r="C99" s="195">
        <v>5</v>
      </c>
      <c r="D99" s="195">
        <v>5</v>
      </c>
      <c r="E99" s="195">
        <v>5</v>
      </c>
      <c r="F99" s="195">
        <v>5</v>
      </c>
      <c r="G99" s="195">
        <v>4</v>
      </c>
      <c r="H99" s="195">
        <v>5</v>
      </c>
      <c r="I99" s="195">
        <v>5</v>
      </c>
      <c r="J99" s="195">
        <v>5</v>
      </c>
      <c r="K99" s="195">
        <v>5</v>
      </c>
      <c r="L99" s="195">
        <v>5</v>
      </c>
      <c r="M99" s="196">
        <v>5</v>
      </c>
    </row>
    <row r="100" spans="1:13" x14ac:dyDescent="0.25">
      <c r="A100" s="194">
        <v>99</v>
      </c>
      <c r="B100" s="195">
        <v>5</v>
      </c>
      <c r="C100" s="195">
        <v>5</v>
      </c>
      <c r="D100" s="195">
        <v>5</v>
      </c>
      <c r="E100" s="195">
        <v>5</v>
      </c>
      <c r="F100" s="195">
        <v>5</v>
      </c>
      <c r="G100" s="195">
        <v>5</v>
      </c>
      <c r="H100" s="195">
        <v>5</v>
      </c>
      <c r="I100" s="195">
        <v>5</v>
      </c>
      <c r="J100" s="195">
        <v>5</v>
      </c>
      <c r="K100" s="195">
        <v>4</v>
      </c>
      <c r="L100" s="195">
        <v>3</v>
      </c>
      <c r="M100" s="196">
        <v>5</v>
      </c>
    </row>
    <row r="101" spans="1:13" x14ac:dyDescent="0.25">
      <c r="A101" s="194">
        <v>100</v>
      </c>
      <c r="B101" s="195">
        <v>5</v>
      </c>
      <c r="C101" s="195">
        <v>5</v>
      </c>
      <c r="D101" s="195">
        <v>5</v>
      </c>
      <c r="E101" s="195">
        <v>5</v>
      </c>
      <c r="F101" s="195">
        <v>5</v>
      </c>
      <c r="G101" s="195">
        <v>5</v>
      </c>
      <c r="H101" s="195">
        <v>5</v>
      </c>
      <c r="I101" s="195">
        <v>5</v>
      </c>
      <c r="J101" s="195">
        <v>5</v>
      </c>
      <c r="K101" s="195">
        <v>5</v>
      </c>
      <c r="L101" s="195">
        <v>5</v>
      </c>
      <c r="M101" s="196">
        <v>5</v>
      </c>
    </row>
    <row r="102" spans="1:13" x14ac:dyDescent="0.25">
      <c r="A102" s="194">
        <v>101</v>
      </c>
      <c r="B102" s="195">
        <v>5</v>
      </c>
      <c r="C102" s="195">
        <v>4</v>
      </c>
      <c r="D102" s="195">
        <v>4</v>
      </c>
      <c r="E102" s="195">
        <v>3</v>
      </c>
      <c r="F102" s="195">
        <v>5</v>
      </c>
      <c r="G102" s="195">
        <v>5</v>
      </c>
      <c r="H102" s="195">
        <v>4</v>
      </c>
      <c r="I102" s="195">
        <v>5</v>
      </c>
      <c r="J102" s="195">
        <v>5</v>
      </c>
      <c r="K102" s="195">
        <v>4</v>
      </c>
      <c r="L102" s="195">
        <v>5</v>
      </c>
      <c r="M102" s="196">
        <v>5</v>
      </c>
    </row>
    <row r="103" spans="1:13" x14ac:dyDescent="0.25">
      <c r="A103" s="194">
        <v>102</v>
      </c>
      <c r="B103" s="195">
        <v>5</v>
      </c>
      <c r="C103" s="195">
        <v>5</v>
      </c>
      <c r="D103" s="195">
        <v>5</v>
      </c>
      <c r="E103" s="195">
        <v>5</v>
      </c>
      <c r="F103" s="195">
        <v>5</v>
      </c>
      <c r="G103" s="195">
        <v>5</v>
      </c>
      <c r="H103" s="195">
        <v>5</v>
      </c>
      <c r="I103" s="195">
        <v>5</v>
      </c>
      <c r="J103" s="195">
        <v>5</v>
      </c>
      <c r="K103" s="195">
        <v>5</v>
      </c>
      <c r="L103" s="195">
        <v>4</v>
      </c>
      <c r="M103" s="196">
        <v>5</v>
      </c>
    </row>
    <row r="104" spans="1:13" x14ac:dyDescent="0.25">
      <c r="A104" s="194">
        <v>103</v>
      </c>
      <c r="B104" s="195">
        <v>5</v>
      </c>
      <c r="C104" s="195">
        <v>5</v>
      </c>
      <c r="D104" s="195">
        <v>5</v>
      </c>
      <c r="E104" s="195">
        <v>5</v>
      </c>
      <c r="F104" s="195">
        <v>5</v>
      </c>
      <c r="G104" s="195">
        <v>5</v>
      </c>
      <c r="H104" s="195">
        <v>5</v>
      </c>
      <c r="I104" s="195">
        <v>5</v>
      </c>
      <c r="J104" s="195">
        <v>5</v>
      </c>
      <c r="K104" s="195">
        <v>5</v>
      </c>
      <c r="L104" s="195">
        <v>5</v>
      </c>
      <c r="M104" s="196">
        <v>5</v>
      </c>
    </row>
    <row r="105" spans="1:13" x14ac:dyDescent="0.25">
      <c r="A105" s="194">
        <v>104</v>
      </c>
      <c r="B105" s="195">
        <v>5</v>
      </c>
      <c r="C105" s="195">
        <v>5</v>
      </c>
      <c r="D105" s="195">
        <v>5</v>
      </c>
      <c r="E105" s="195">
        <v>5</v>
      </c>
      <c r="F105" s="195">
        <v>5</v>
      </c>
      <c r="G105" s="195">
        <v>5</v>
      </c>
      <c r="H105" s="195">
        <v>5</v>
      </c>
      <c r="I105" s="195">
        <v>5</v>
      </c>
      <c r="J105" s="195">
        <v>5</v>
      </c>
      <c r="K105" s="195">
        <v>5</v>
      </c>
      <c r="L105" s="195">
        <v>4</v>
      </c>
      <c r="M105" s="196">
        <v>5</v>
      </c>
    </row>
    <row r="106" spans="1:13" x14ac:dyDescent="0.25">
      <c r="A106" s="194">
        <v>105</v>
      </c>
      <c r="B106" s="195">
        <v>5</v>
      </c>
      <c r="C106" s="195">
        <v>5</v>
      </c>
      <c r="D106" s="195">
        <v>5</v>
      </c>
      <c r="E106" s="195">
        <v>4</v>
      </c>
      <c r="F106" s="195">
        <v>5</v>
      </c>
      <c r="G106" s="195">
        <v>5</v>
      </c>
      <c r="H106" s="195">
        <v>5</v>
      </c>
      <c r="I106" s="195">
        <v>5</v>
      </c>
      <c r="J106" s="195">
        <v>5</v>
      </c>
      <c r="K106" s="195">
        <v>4</v>
      </c>
      <c r="L106" s="195">
        <v>3</v>
      </c>
      <c r="M106" s="196">
        <v>5</v>
      </c>
    </row>
    <row r="107" spans="1:13" x14ac:dyDescent="0.25">
      <c r="A107" s="194">
        <v>106</v>
      </c>
      <c r="B107" s="195">
        <v>5</v>
      </c>
      <c r="C107" s="195">
        <v>5</v>
      </c>
      <c r="D107" s="195">
        <v>5</v>
      </c>
      <c r="E107" s="195">
        <v>5</v>
      </c>
      <c r="F107" s="195">
        <v>3</v>
      </c>
      <c r="G107" s="195">
        <v>4</v>
      </c>
      <c r="H107" s="195">
        <v>5</v>
      </c>
      <c r="I107" s="195">
        <v>3</v>
      </c>
      <c r="J107" s="195">
        <v>5</v>
      </c>
      <c r="K107" s="195">
        <v>3</v>
      </c>
      <c r="L107" s="195">
        <v>4</v>
      </c>
      <c r="M107" s="196">
        <v>5</v>
      </c>
    </row>
    <row r="108" spans="1:13" x14ac:dyDescent="0.25">
      <c r="A108" s="194">
        <v>107</v>
      </c>
      <c r="B108" s="195">
        <v>5</v>
      </c>
      <c r="C108" s="195">
        <v>5</v>
      </c>
      <c r="D108" s="195">
        <v>5</v>
      </c>
      <c r="E108" s="195">
        <v>5</v>
      </c>
      <c r="F108" s="195">
        <v>5</v>
      </c>
      <c r="G108" s="195">
        <v>5</v>
      </c>
      <c r="H108" s="195">
        <v>5</v>
      </c>
      <c r="I108" s="195">
        <v>5</v>
      </c>
      <c r="J108" s="195">
        <v>5</v>
      </c>
      <c r="K108" s="195">
        <v>5</v>
      </c>
      <c r="L108" s="195">
        <v>5</v>
      </c>
      <c r="M108" s="196">
        <v>5</v>
      </c>
    </row>
    <row r="109" spans="1:13" x14ac:dyDescent="0.25">
      <c r="A109" s="194">
        <v>108</v>
      </c>
      <c r="B109" s="195">
        <v>5</v>
      </c>
      <c r="C109" s="195">
        <v>5</v>
      </c>
      <c r="D109" s="195">
        <v>5</v>
      </c>
      <c r="E109" s="195">
        <v>5</v>
      </c>
      <c r="F109" s="195">
        <v>5</v>
      </c>
      <c r="G109" s="195">
        <v>5</v>
      </c>
      <c r="H109" s="195">
        <v>5</v>
      </c>
      <c r="I109" s="195">
        <v>5</v>
      </c>
      <c r="J109" s="195">
        <v>5</v>
      </c>
      <c r="K109" s="195">
        <v>5</v>
      </c>
      <c r="L109" s="195">
        <v>5</v>
      </c>
      <c r="M109" s="196">
        <v>5</v>
      </c>
    </row>
    <row r="110" spans="1:13" x14ac:dyDescent="0.25">
      <c r="A110" s="194">
        <v>109</v>
      </c>
      <c r="B110" s="195">
        <v>5</v>
      </c>
      <c r="C110" s="195">
        <v>5</v>
      </c>
      <c r="D110" s="195">
        <v>5</v>
      </c>
      <c r="E110" s="195">
        <v>5</v>
      </c>
      <c r="F110" s="195">
        <v>5</v>
      </c>
      <c r="G110" s="195">
        <v>5</v>
      </c>
      <c r="H110" s="195">
        <v>5</v>
      </c>
      <c r="I110" s="195">
        <v>5</v>
      </c>
      <c r="J110" s="195">
        <v>5</v>
      </c>
      <c r="K110" s="195">
        <v>5</v>
      </c>
      <c r="L110" s="195">
        <v>5</v>
      </c>
      <c r="M110" s="196">
        <v>5</v>
      </c>
    </row>
    <row r="111" spans="1:13" x14ac:dyDescent="0.25">
      <c r="A111" s="194">
        <v>110</v>
      </c>
      <c r="B111" s="195">
        <v>5</v>
      </c>
      <c r="C111" s="195">
        <v>5</v>
      </c>
      <c r="D111" s="195">
        <v>5</v>
      </c>
      <c r="E111" s="195">
        <v>5</v>
      </c>
      <c r="F111" s="195">
        <v>5</v>
      </c>
      <c r="G111" s="195">
        <v>4</v>
      </c>
      <c r="H111" s="195">
        <v>5</v>
      </c>
      <c r="I111" s="195">
        <v>4</v>
      </c>
      <c r="J111" s="195">
        <v>4</v>
      </c>
      <c r="K111" s="195">
        <v>5</v>
      </c>
      <c r="L111" s="195">
        <v>5</v>
      </c>
      <c r="M111" s="196">
        <v>5</v>
      </c>
    </row>
    <row r="112" spans="1:13" x14ac:dyDescent="0.25">
      <c r="A112" s="194">
        <v>111</v>
      </c>
      <c r="B112" s="195">
        <v>5</v>
      </c>
      <c r="C112" s="195">
        <v>4</v>
      </c>
      <c r="D112" s="195">
        <v>4</v>
      </c>
      <c r="E112" s="195">
        <v>5</v>
      </c>
      <c r="F112" s="195">
        <v>5</v>
      </c>
      <c r="G112" s="195">
        <v>3</v>
      </c>
      <c r="H112" s="195">
        <v>5</v>
      </c>
      <c r="I112" s="195">
        <v>5</v>
      </c>
      <c r="J112" s="195">
        <v>5</v>
      </c>
      <c r="K112" s="195">
        <v>5</v>
      </c>
      <c r="L112" s="195">
        <v>5</v>
      </c>
      <c r="M112" s="196">
        <v>5</v>
      </c>
    </row>
    <row r="113" spans="1:13" x14ac:dyDescent="0.25">
      <c r="A113" s="194">
        <v>112</v>
      </c>
      <c r="B113" s="195">
        <v>5</v>
      </c>
      <c r="C113" s="195">
        <v>5</v>
      </c>
      <c r="D113" s="195">
        <v>5</v>
      </c>
      <c r="E113" s="195">
        <v>5</v>
      </c>
      <c r="F113" s="195">
        <v>5</v>
      </c>
      <c r="G113" s="195">
        <v>5</v>
      </c>
      <c r="H113" s="195">
        <v>5</v>
      </c>
      <c r="I113" s="195">
        <v>5</v>
      </c>
      <c r="J113" s="195">
        <v>5</v>
      </c>
      <c r="K113" s="195">
        <v>5</v>
      </c>
      <c r="L113" s="195">
        <v>5</v>
      </c>
      <c r="M113" s="196">
        <v>5</v>
      </c>
    </row>
    <row r="114" spans="1:13" x14ac:dyDescent="0.25">
      <c r="A114" s="194">
        <v>113</v>
      </c>
      <c r="B114" s="195">
        <v>5</v>
      </c>
      <c r="C114" s="195">
        <v>5</v>
      </c>
      <c r="D114" s="195">
        <v>5</v>
      </c>
      <c r="E114" s="195">
        <v>5</v>
      </c>
      <c r="F114" s="195">
        <v>5</v>
      </c>
      <c r="G114" s="195">
        <v>5</v>
      </c>
      <c r="H114" s="195">
        <v>5</v>
      </c>
      <c r="I114" s="195">
        <v>5</v>
      </c>
      <c r="J114" s="195">
        <v>5</v>
      </c>
      <c r="K114" s="195">
        <v>5</v>
      </c>
      <c r="L114" s="195">
        <v>5</v>
      </c>
      <c r="M114" s="196">
        <v>5</v>
      </c>
    </row>
    <row r="115" spans="1:13" x14ac:dyDescent="0.25">
      <c r="A115" s="194">
        <v>114</v>
      </c>
      <c r="B115" s="195">
        <v>5</v>
      </c>
      <c r="C115" s="195">
        <v>5</v>
      </c>
      <c r="D115" s="195">
        <v>5</v>
      </c>
      <c r="E115" s="195">
        <v>5</v>
      </c>
      <c r="F115" s="195">
        <v>5</v>
      </c>
      <c r="G115" s="195">
        <v>3</v>
      </c>
      <c r="H115" s="195">
        <v>5</v>
      </c>
      <c r="I115" s="195">
        <v>5</v>
      </c>
      <c r="J115" s="195">
        <v>5</v>
      </c>
      <c r="K115" s="195">
        <v>5</v>
      </c>
      <c r="L115" s="195">
        <v>3</v>
      </c>
      <c r="M115" s="196">
        <v>5</v>
      </c>
    </row>
    <row r="116" spans="1:13" x14ac:dyDescent="0.25">
      <c r="A116" s="194">
        <v>115</v>
      </c>
      <c r="B116" s="195">
        <v>5</v>
      </c>
      <c r="C116" s="195">
        <v>5</v>
      </c>
      <c r="D116" s="195">
        <v>5</v>
      </c>
      <c r="E116" s="195">
        <v>5</v>
      </c>
      <c r="F116" s="195">
        <v>5</v>
      </c>
      <c r="G116" s="195">
        <v>3</v>
      </c>
      <c r="H116" s="195">
        <v>5</v>
      </c>
      <c r="I116" s="195">
        <v>3</v>
      </c>
      <c r="J116" s="195">
        <v>5</v>
      </c>
      <c r="K116" s="195">
        <v>5</v>
      </c>
      <c r="L116" s="195">
        <v>5</v>
      </c>
      <c r="M116" s="196">
        <v>5</v>
      </c>
    </row>
    <row r="117" spans="1:13" x14ac:dyDescent="0.25">
      <c r="A117" s="194">
        <v>116</v>
      </c>
      <c r="B117" s="195">
        <v>5</v>
      </c>
      <c r="C117" s="195">
        <v>5</v>
      </c>
      <c r="D117" s="195">
        <v>5</v>
      </c>
      <c r="E117" s="195">
        <v>5</v>
      </c>
      <c r="F117" s="195">
        <v>5</v>
      </c>
      <c r="G117" s="195">
        <v>5</v>
      </c>
      <c r="H117" s="195">
        <v>5</v>
      </c>
      <c r="I117" s="195">
        <v>5</v>
      </c>
      <c r="J117" s="195">
        <v>5</v>
      </c>
      <c r="K117" s="195">
        <v>5</v>
      </c>
      <c r="L117" s="195">
        <v>5</v>
      </c>
      <c r="M117" s="196">
        <v>5</v>
      </c>
    </row>
    <row r="118" spans="1:13" x14ac:dyDescent="0.25">
      <c r="A118" s="194">
        <v>117</v>
      </c>
      <c r="B118" s="195">
        <v>5</v>
      </c>
      <c r="C118" s="195">
        <v>5</v>
      </c>
      <c r="D118" s="195">
        <v>5</v>
      </c>
      <c r="E118" s="195">
        <v>5</v>
      </c>
      <c r="F118" s="195">
        <v>5</v>
      </c>
      <c r="G118" s="195">
        <v>5</v>
      </c>
      <c r="H118" s="195">
        <v>5</v>
      </c>
      <c r="I118" s="195">
        <v>5</v>
      </c>
      <c r="J118" s="195">
        <v>5</v>
      </c>
      <c r="K118" s="195">
        <v>5</v>
      </c>
      <c r="L118" s="195">
        <v>5</v>
      </c>
      <c r="M118" s="196">
        <v>5</v>
      </c>
    </row>
    <row r="119" spans="1:13" x14ac:dyDescent="0.25">
      <c r="A119" s="194">
        <v>118</v>
      </c>
      <c r="B119" s="195">
        <v>5</v>
      </c>
      <c r="C119" s="195">
        <v>5</v>
      </c>
      <c r="D119" s="195">
        <v>5</v>
      </c>
      <c r="E119" s="195">
        <v>5</v>
      </c>
      <c r="F119" s="195">
        <v>5</v>
      </c>
      <c r="G119" s="195">
        <v>5</v>
      </c>
      <c r="H119" s="195">
        <v>5</v>
      </c>
      <c r="I119" s="195">
        <v>5</v>
      </c>
      <c r="J119" s="195">
        <v>5</v>
      </c>
      <c r="K119" s="195">
        <v>5</v>
      </c>
      <c r="L119" s="195">
        <v>5</v>
      </c>
      <c r="M119" s="196">
        <v>5</v>
      </c>
    </row>
    <row r="120" spans="1:13" x14ac:dyDescent="0.25">
      <c r="A120" s="194">
        <v>119</v>
      </c>
      <c r="B120" s="195">
        <v>5</v>
      </c>
      <c r="C120" s="195">
        <v>5</v>
      </c>
      <c r="D120" s="195">
        <v>5</v>
      </c>
      <c r="E120" s="195">
        <v>5</v>
      </c>
      <c r="F120" s="195">
        <v>5</v>
      </c>
      <c r="G120" s="195">
        <v>5</v>
      </c>
      <c r="H120" s="195">
        <v>5</v>
      </c>
      <c r="I120" s="195">
        <v>5</v>
      </c>
      <c r="J120" s="195">
        <v>5</v>
      </c>
      <c r="K120" s="195">
        <v>5</v>
      </c>
      <c r="L120" s="195">
        <v>5</v>
      </c>
      <c r="M120" s="196">
        <v>5</v>
      </c>
    </row>
    <row r="121" spans="1:13" x14ac:dyDescent="0.25">
      <c r="A121" s="194">
        <v>120</v>
      </c>
      <c r="B121" s="195">
        <v>5</v>
      </c>
      <c r="C121" s="195">
        <v>5</v>
      </c>
      <c r="D121" s="195">
        <v>5</v>
      </c>
      <c r="E121" s="195">
        <v>5</v>
      </c>
      <c r="F121" s="195">
        <v>5</v>
      </c>
      <c r="G121" s="195">
        <v>5</v>
      </c>
      <c r="H121" s="195">
        <v>5</v>
      </c>
      <c r="I121" s="195">
        <v>5</v>
      </c>
      <c r="J121" s="195">
        <v>5</v>
      </c>
      <c r="K121" s="195">
        <v>5</v>
      </c>
      <c r="L121" s="195">
        <v>5</v>
      </c>
      <c r="M121" s="196">
        <v>5</v>
      </c>
    </row>
    <row r="122" spans="1:13" x14ac:dyDescent="0.25">
      <c r="A122" s="194">
        <v>121</v>
      </c>
      <c r="B122" s="195">
        <v>5</v>
      </c>
      <c r="C122" s="195">
        <v>5</v>
      </c>
      <c r="D122" s="195">
        <v>5</v>
      </c>
      <c r="E122" s="195">
        <v>5</v>
      </c>
      <c r="F122" s="195">
        <v>5</v>
      </c>
      <c r="G122" s="195">
        <v>2</v>
      </c>
      <c r="H122" s="195">
        <v>5</v>
      </c>
      <c r="I122" s="195">
        <v>5</v>
      </c>
      <c r="J122" s="195">
        <v>5</v>
      </c>
      <c r="K122" s="195">
        <v>5</v>
      </c>
      <c r="L122" s="195">
        <v>5</v>
      </c>
      <c r="M122" s="196">
        <v>5</v>
      </c>
    </row>
    <row r="123" spans="1:13" x14ac:dyDescent="0.25">
      <c r="A123" s="194">
        <v>122</v>
      </c>
      <c r="B123" s="195">
        <v>5</v>
      </c>
      <c r="C123" s="195">
        <v>5</v>
      </c>
      <c r="D123" s="195">
        <v>5</v>
      </c>
      <c r="E123" s="195">
        <v>5</v>
      </c>
      <c r="F123" s="195">
        <v>5</v>
      </c>
      <c r="G123" s="195">
        <v>5</v>
      </c>
      <c r="H123" s="195">
        <v>5</v>
      </c>
      <c r="I123" s="195">
        <v>5</v>
      </c>
      <c r="J123" s="195">
        <v>5</v>
      </c>
      <c r="K123" s="195">
        <v>4</v>
      </c>
      <c r="L123" s="195">
        <v>2</v>
      </c>
      <c r="M123" s="196">
        <v>5</v>
      </c>
    </row>
    <row r="124" spans="1:13" x14ac:dyDescent="0.25">
      <c r="A124" s="194">
        <v>123</v>
      </c>
      <c r="B124" s="195">
        <v>5</v>
      </c>
      <c r="C124" s="195">
        <v>5</v>
      </c>
      <c r="D124" s="195">
        <v>5</v>
      </c>
      <c r="E124" s="195">
        <v>5</v>
      </c>
      <c r="F124" s="195">
        <v>5</v>
      </c>
      <c r="G124" s="195">
        <v>5</v>
      </c>
      <c r="H124" s="195">
        <v>5</v>
      </c>
      <c r="I124" s="195">
        <v>5</v>
      </c>
      <c r="J124" s="195">
        <v>5</v>
      </c>
      <c r="K124" s="195">
        <v>5</v>
      </c>
      <c r="L124" s="195">
        <v>5</v>
      </c>
      <c r="M124" s="196">
        <v>5</v>
      </c>
    </row>
    <row r="125" spans="1:13" x14ac:dyDescent="0.25">
      <c r="A125" s="194">
        <v>124</v>
      </c>
      <c r="B125" s="195">
        <v>5</v>
      </c>
      <c r="C125" s="195">
        <v>5</v>
      </c>
      <c r="D125" s="195">
        <v>5</v>
      </c>
      <c r="E125" s="195">
        <v>5</v>
      </c>
      <c r="F125" s="195">
        <v>5</v>
      </c>
      <c r="G125" s="195">
        <v>5</v>
      </c>
      <c r="H125" s="195">
        <v>5</v>
      </c>
      <c r="I125" s="195">
        <v>5</v>
      </c>
      <c r="J125" s="195">
        <v>5</v>
      </c>
      <c r="K125" s="195">
        <v>5</v>
      </c>
      <c r="L125" s="195">
        <v>5</v>
      </c>
      <c r="M125" s="196">
        <v>5</v>
      </c>
    </row>
    <row r="126" spans="1:13" x14ac:dyDescent="0.25">
      <c r="A126" s="194">
        <v>125</v>
      </c>
      <c r="B126" s="195">
        <v>5</v>
      </c>
      <c r="C126" s="195">
        <v>5</v>
      </c>
      <c r="D126" s="195">
        <v>5</v>
      </c>
      <c r="E126" s="195">
        <v>5</v>
      </c>
      <c r="F126" s="195">
        <v>5</v>
      </c>
      <c r="G126" s="195">
        <v>5</v>
      </c>
      <c r="H126" s="195">
        <v>5</v>
      </c>
      <c r="I126" s="195">
        <v>5</v>
      </c>
      <c r="J126" s="195">
        <v>5</v>
      </c>
      <c r="K126" s="195">
        <v>5</v>
      </c>
      <c r="L126" s="195">
        <v>4</v>
      </c>
      <c r="M126" s="196">
        <v>5</v>
      </c>
    </row>
    <row r="127" spans="1:13" x14ac:dyDescent="0.25">
      <c r="A127" s="194">
        <v>126</v>
      </c>
      <c r="B127" s="195">
        <v>5</v>
      </c>
      <c r="C127" s="195">
        <v>5</v>
      </c>
      <c r="D127" s="195">
        <v>5</v>
      </c>
      <c r="E127" s="195">
        <v>5</v>
      </c>
      <c r="F127" s="195">
        <v>5</v>
      </c>
      <c r="G127" s="195">
        <v>5</v>
      </c>
      <c r="H127" s="195">
        <v>5</v>
      </c>
      <c r="I127" s="195">
        <v>5</v>
      </c>
      <c r="J127" s="195">
        <v>5</v>
      </c>
      <c r="K127" s="195">
        <v>5</v>
      </c>
      <c r="L127" s="195">
        <v>5</v>
      </c>
      <c r="M127" s="196">
        <v>5</v>
      </c>
    </row>
    <row r="128" spans="1:13" x14ac:dyDescent="0.25">
      <c r="A128" s="194">
        <v>127</v>
      </c>
      <c r="B128" s="195">
        <v>5</v>
      </c>
      <c r="C128" s="195">
        <v>5</v>
      </c>
      <c r="D128" s="195">
        <v>5</v>
      </c>
      <c r="E128" s="195">
        <v>5</v>
      </c>
      <c r="F128" s="195">
        <v>5</v>
      </c>
      <c r="G128" s="195">
        <v>5</v>
      </c>
      <c r="H128" s="195">
        <v>5</v>
      </c>
      <c r="I128" s="195">
        <v>5</v>
      </c>
      <c r="J128" s="195">
        <v>5</v>
      </c>
      <c r="K128" s="195">
        <v>5</v>
      </c>
      <c r="L128" s="195">
        <v>5</v>
      </c>
      <c r="M128" s="196">
        <v>5</v>
      </c>
    </row>
    <row r="129" spans="1:13" x14ac:dyDescent="0.25">
      <c r="A129" s="194">
        <v>128</v>
      </c>
      <c r="B129" s="195">
        <v>5</v>
      </c>
      <c r="C129" s="195">
        <v>5</v>
      </c>
      <c r="D129" s="195">
        <v>5</v>
      </c>
      <c r="E129" s="195">
        <v>5</v>
      </c>
      <c r="F129" s="195">
        <v>5</v>
      </c>
      <c r="G129" s="195">
        <v>5</v>
      </c>
      <c r="H129" s="195">
        <v>5</v>
      </c>
      <c r="I129" s="195">
        <v>5</v>
      </c>
      <c r="J129" s="195">
        <v>5</v>
      </c>
      <c r="K129" s="195">
        <v>5</v>
      </c>
      <c r="L129" s="195">
        <v>5</v>
      </c>
      <c r="M129" s="196">
        <v>5</v>
      </c>
    </row>
    <row r="130" spans="1:13" x14ac:dyDescent="0.25">
      <c r="A130" s="194">
        <v>129</v>
      </c>
      <c r="B130" s="195">
        <v>5</v>
      </c>
      <c r="C130" s="195">
        <v>5</v>
      </c>
      <c r="D130" s="195">
        <v>5</v>
      </c>
      <c r="E130" s="195">
        <v>4</v>
      </c>
      <c r="F130" s="195">
        <v>5</v>
      </c>
      <c r="G130" s="195">
        <v>5</v>
      </c>
      <c r="H130" s="195">
        <v>5</v>
      </c>
      <c r="I130" s="195">
        <v>4</v>
      </c>
      <c r="J130" s="195">
        <v>5</v>
      </c>
      <c r="K130" s="195">
        <v>5</v>
      </c>
      <c r="L130" s="195">
        <v>5</v>
      </c>
      <c r="M130" s="196">
        <v>5</v>
      </c>
    </row>
    <row r="131" spans="1:13" x14ac:dyDescent="0.25">
      <c r="A131" s="194">
        <v>130</v>
      </c>
      <c r="B131" s="195">
        <v>5</v>
      </c>
      <c r="C131" s="195">
        <v>5</v>
      </c>
      <c r="D131" s="195">
        <v>5</v>
      </c>
      <c r="E131" s="195">
        <v>5</v>
      </c>
      <c r="F131" s="195">
        <v>5</v>
      </c>
      <c r="G131" s="195">
        <v>5</v>
      </c>
      <c r="H131" s="195">
        <v>5</v>
      </c>
      <c r="I131" s="195">
        <v>5</v>
      </c>
      <c r="J131" s="195">
        <v>5</v>
      </c>
      <c r="K131" s="195">
        <v>5</v>
      </c>
      <c r="L131" s="195">
        <v>5</v>
      </c>
      <c r="M131" s="196">
        <v>5</v>
      </c>
    </row>
    <row r="132" spans="1:13" x14ac:dyDescent="0.25">
      <c r="A132" s="194">
        <v>131</v>
      </c>
      <c r="B132" s="195">
        <v>5</v>
      </c>
      <c r="C132" s="195">
        <v>5</v>
      </c>
      <c r="D132" s="195">
        <v>5</v>
      </c>
      <c r="E132" s="195">
        <v>5</v>
      </c>
      <c r="F132" s="195">
        <v>5</v>
      </c>
      <c r="G132" s="195">
        <v>5</v>
      </c>
      <c r="H132" s="195">
        <v>5</v>
      </c>
      <c r="I132" s="195">
        <v>5</v>
      </c>
      <c r="J132" s="195">
        <v>5</v>
      </c>
      <c r="K132" s="195">
        <v>5</v>
      </c>
      <c r="L132" s="195">
        <v>5</v>
      </c>
      <c r="M132" s="196">
        <v>5</v>
      </c>
    </row>
    <row r="133" spans="1:13" x14ac:dyDescent="0.25">
      <c r="A133" s="194">
        <v>132</v>
      </c>
      <c r="B133" s="195">
        <v>5</v>
      </c>
      <c r="C133" s="195">
        <v>5</v>
      </c>
      <c r="D133" s="195">
        <v>5</v>
      </c>
      <c r="E133" s="195">
        <v>5</v>
      </c>
      <c r="F133" s="195">
        <v>5</v>
      </c>
      <c r="G133" s="195">
        <v>5</v>
      </c>
      <c r="H133" s="195">
        <v>5</v>
      </c>
      <c r="I133" s="195">
        <v>5</v>
      </c>
      <c r="J133" s="195">
        <v>5</v>
      </c>
      <c r="K133" s="195">
        <v>5</v>
      </c>
      <c r="L133" s="195">
        <v>5</v>
      </c>
      <c r="M133" s="196">
        <v>5</v>
      </c>
    </row>
    <row r="134" spans="1:13" x14ac:dyDescent="0.25">
      <c r="A134" s="194">
        <v>133</v>
      </c>
      <c r="B134" s="195">
        <v>5</v>
      </c>
      <c r="C134" s="195">
        <v>5</v>
      </c>
      <c r="D134" s="195">
        <v>5</v>
      </c>
      <c r="E134" s="195">
        <v>5</v>
      </c>
      <c r="F134" s="195">
        <v>5</v>
      </c>
      <c r="G134" s="195">
        <v>5</v>
      </c>
      <c r="H134" s="195">
        <v>5</v>
      </c>
      <c r="I134" s="195">
        <v>5</v>
      </c>
      <c r="J134" s="195">
        <v>5</v>
      </c>
      <c r="K134" s="195">
        <v>5</v>
      </c>
      <c r="L134" s="195">
        <v>4</v>
      </c>
      <c r="M134" s="196">
        <v>5</v>
      </c>
    </row>
    <row r="135" spans="1:13" x14ac:dyDescent="0.25">
      <c r="A135" s="194">
        <v>134</v>
      </c>
      <c r="B135" s="195">
        <v>5</v>
      </c>
      <c r="C135" s="195">
        <v>5</v>
      </c>
      <c r="D135" s="195">
        <v>5</v>
      </c>
      <c r="E135" s="195">
        <v>5</v>
      </c>
      <c r="F135" s="195">
        <v>5</v>
      </c>
      <c r="G135" s="195">
        <v>5</v>
      </c>
      <c r="H135" s="195">
        <v>5</v>
      </c>
      <c r="I135" s="195">
        <v>5</v>
      </c>
      <c r="J135" s="195">
        <v>5</v>
      </c>
      <c r="K135" s="195">
        <v>5</v>
      </c>
      <c r="L135" s="195">
        <v>4</v>
      </c>
      <c r="M135" s="196">
        <v>5</v>
      </c>
    </row>
    <row r="136" spans="1:13" x14ac:dyDescent="0.25">
      <c r="A136" s="194">
        <v>135</v>
      </c>
      <c r="B136" s="195">
        <v>5</v>
      </c>
      <c r="C136" s="195">
        <v>4</v>
      </c>
      <c r="D136" s="195">
        <v>4</v>
      </c>
      <c r="E136" s="195">
        <v>3</v>
      </c>
      <c r="F136" s="195">
        <v>5</v>
      </c>
      <c r="G136" s="195">
        <v>5</v>
      </c>
      <c r="H136" s="195">
        <v>4</v>
      </c>
      <c r="I136" s="195">
        <v>5</v>
      </c>
      <c r="J136" s="195">
        <v>5</v>
      </c>
      <c r="K136" s="195">
        <v>4</v>
      </c>
      <c r="L136" s="195">
        <v>5</v>
      </c>
      <c r="M136" s="196">
        <v>5</v>
      </c>
    </row>
    <row r="137" spans="1:13" x14ac:dyDescent="0.25">
      <c r="A137" s="194">
        <v>136</v>
      </c>
      <c r="B137" s="195">
        <v>5</v>
      </c>
      <c r="C137" s="195">
        <v>5</v>
      </c>
      <c r="D137" s="195">
        <v>5</v>
      </c>
      <c r="E137" s="195">
        <v>5</v>
      </c>
      <c r="F137" s="195">
        <v>5</v>
      </c>
      <c r="G137" s="195">
        <v>5</v>
      </c>
      <c r="H137" s="195">
        <v>5</v>
      </c>
      <c r="I137" s="195">
        <v>5</v>
      </c>
      <c r="J137" s="195">
        <v>5</v>
      </c>
      <c r="K137" s="195">
        <v>5</v>
      </c>
      <c r="L137" s="195">
        <v>5</v>
      </c>
      <c r="M137" s="196">
        <v>5</v>
      </c>
    </row>
    <row r="138" spans="1:13" x14ac:dyDescent="0.25">
      <c r="A138" s="194">
        <v>137</v>
      </c>
      <c r="B138" s="195">
        <v>5</v>
      </c>
      <c r="C138" s="195">
        <v>5</v>
      </c>
      <c r="D138" s="195">
        <v>5</v>
      </c>
      <c r="E138" s="195">
        <v>5</v>
      </c>
      <c r="F138" s="195">
        <v>5</v>
      </c>
      <c r="G138" s="195">
        <v>5</v>
      </c>
      <c r="H138" s="195">
        <v>4</v>
      </c>
      <c r="I138" s="195">
        <v>4</v>
      </c>
      <c r="J138" s="195">
        <v>4</v>
      </c>
      <c r="K138" s="195">
        <v>4</v>
      </c>
      <c r="L138" s="195">
        <v>4</v>
      </c>
      <c r="M138" s="196">
        <v>5</v>
      </c>
    </row>
    <row r="139" spans="1:13" x14ac:dyDescent="0.25">
      <c r="A139" s="194">
        <v>138</v>
      </c>
      <c r="B139" s="195">
        <v>5</v>
      </c>
      <c r="C139" s="195">
        <v>5</v>
      </c>
      <c r="D139" s="195">
        <v>5</v>
      </c>
      <c r="E139" s="195">
        <v>5</v>
      </c>
      <c r="F139" s="195">
        <v>5</v>
      </c>
      <c r="G139" s="195">
        <v>5</v>
      </c>
      <c r="H139" s="195">
        <v>5</v>
      </c>
      <c r="I139" s="195">
        <v>5</v>
      </c>
      <c r="J139" s="195">
        <v>5</v>
      </c>
      <c r="K139" s="195">
        <v>5</v>
      </c>
      <c r="L139" s="195">
        <v>5</v>
      </c>
      <c r="M139" s="196">
        <v>5</v>
      </c>
    </row>
    <row r="140" spans="1:13" x14ac:dyDescent="0.25">
      <c r="A140" s="194">
        <v>139</v>
      </c>
      <c r="B140" s="195">
        <v>5</v>
      </c>
      <c r="C140" s="195">
        <v>5</v>
      </c>
      <c r="D140" s="195">
        <v>5</v>
      </c>
      <c r="E140" s="195">
        <v>5</v>
      </c>
      <c r="F140" s="195">
        <v>5</v>
      </c>
      <c r="G140" s="195">
        <v>5</v>
      </c>
      <c r="H140" s="195">
        <v>5</v>
      </c>
      <c r="I140" s="195">
        <v>5</v>
      </c>
      <c r="J140" s="195">
        <v>5</v>
      </c>
      <c r="K140" s="195">
        <v>5</v>
      </c>
      <c r="L140" s="195">
        <v>5</v>
      </c>
      <c r="M140" s="196">
        <v>5</v>
      </c>
    </row>
    <row r="141" spans="1:13" x14ac:dyDescent="0.25">
      <c r="A141" s="194">
        <v>140</v>
      </c>
      <c r="B141" s="195">
        <v>5</v>
      </c>
      <c r="C141" s="195">
        <v>5</v>
      </c>
      <c r="D141" s="195">
        <v>5</v>
      </c>
      <c r="E141" s="195">
        <v>5</v>
      </c>
      <c r="F141" s="195">
        <v>5</v>
      </c>
      <c r="G141" s="195">
        <v>5</v>
      </c>
      <c r="H141" s="195">
        <v>5</v>
      </c>
      <c r="I141" s="195">
        <v>5</v>
      </c>
      <c r="J141" s="195">
        <v>5</v>
      </c>
      <c r="K141" s="195">
        <v>5</v>
      </c>
      <c r="L141" s="195">
        <v>4</v>
      </c>
      <c r="M141" s="196">
        <v>5</v>
      </c>
    </row>
    <row r="142" spans="1:13" x14ac:dyDescent="0.25">
      <c r="A142" s="194">
        <v>141</v>
      </c>
      <c r="B142" s="195">
        <v>5</v>
      </c>
      <c r="C142" s="195">
        <v>5</v>
      </c>
      <c r="D142" s="195">
        <v>5</v>
      </c>
      <c r="E142" s="195">
        <v>5</v>
      </c>
      <c r="F142" s="195">
        <v>5</v>
      </c>
      <c r="G142" s="195">
        <v>5</v>
      </c>
      <c r="H142" s="195">
        <v>5</v>
      </c>
      <c r="I142" s="195">
        <v>5</v>
      </c>
      <c r="J142" s="195">
        <v>5</v>
      </c>
      <c r="K142" s="195">
        <v>5</v>
      </c>
      <c r="L142" s="195">
        <v>5</v>
      </c>
      <c r="M142" s="196">
        <v>5</v>
      </c>
    </row>
    <row r="143" spans="1:13" x14ac:dyDescent="0.25">
      <c r="A143" s="194">
        <v>142</v>
      </c>
      <c r="B143" s="195">
        <v>5</v>
      </c>
      <c r="C143" s="195">
        <v>5</v>
      </c>
      <c r="D143" s="195">
        <v>5</v>
      </c>
      <c r="E143" s="195">
        <v>5</v>
      </c>
      <c r="F143" s="195">
        <v>5</v>
      </c>
      <c r="G143" s="195">
        <v>5</v>
      </c>
      <c r="H143" s="195">
        <v>5</v>
      </c>
      <c r="I143" s="195">
        <v>5</v>
      </c>
      <c r="J143" s="195">
        <v>5</v>
      </c>
      <c r="K143" s="195">
        <v>5</v>
      </c>
      <c r="L143" s="195">
        <v>3</v>
      </c>
      <c r="M143" s="196">
        <v>5</v>
      </c>
    </row>
    <row r="144" spans="1:13" x14ac:dyDescent="0.25">
      <c r="A144" s="194">
        <v>143</v>
      </c>
      <c r="B144" s="195">
        <v>5</v>
      </c>
      <c r="C144" s="195">
        <v>5</v>
      </c>
      <c r="D144" s="195">
        <v>5</v>
      </c>
      <c r="E144" s="195">
        <v>4</v>
      </c>
      <c r="F144" s="195">
        <v>5</v>
      </c>
      <c r="G144" s="195">
        <v>5</v>
      </c>
      <c r="H144" s="195">
        <v>5</v>
      </c>
      <c r="I144" s="195">
        <v>5</v>
      </c>
      <c r="J144" s="195">
        <v>5</v>
      </c>
      <c r="K144" s="195">
        <v>5</v>
      </c>
      <c r="L144" s="195">
        <v>5</v>
      </c>
      <c r="M144" s="196">
        <v>5</v>
      </c>
    </row>
    <row r="145" spans="1:13" x14ac:dyDescent="0.25">
      <c r="A145" s="194">
        <v>144</v>
      </c>
      <c r="B145" s="195">
        <v>5</v>
      </c>
      <c r="C145" s="195">
        <v>5</v>
      </c>
      <c r="D145" s="195">
        <v>5</v>
      </c>
      <c r="E145" s="195">
        <v>3</v>
      </c>
      <c r="F145" s="195">
        <v>5</v>
      </c>
      <c r="G145" s="195">
        <v>5</v>
      </c>
      <c r="H145" s="195">
        <v>5</v>
      </c>
      <c r="I145" s="195">
        <v>5</v>
      </c>
      <c r="J145" s="195">
        <v>5</v>
      </c>
      <c r="K145" s="195">
        <v>5</v>
      </c>
      <c r="L145" s="195">
        <v>5</v>
      </c>
      <c r="M145" s="196">
        <v>5</v>
      </c>
    </row>
    <row r="146" spans="1:13" x14ac:dyDescent="0.25">
      <c r="A146" s="194">
        <v>145</v>
      </c>
      <c r="B146" s="195">
        <v>5</v>
      </c>
      <c r="C146" s="195">
        <v>5</v>
      </c>
      <c r="D146" s="195">
        <v>5</v>
      </c>
      <c r="E146" s="195">
        <v>5</v>
      </c>
      <c r="F146" s="195">
        <v>5</v>
      </c>
      <c r="G146" s="195">
        <v>5</v>
      </c>
      <c r="H146" s="195">
        <v>5</v>
      </c>
      <c r="I146" s="195">
        <v>5</v>
      </c>
      <c r="J146" s="195">
        <v>5</v>
      </c>
      <c r="K146" s="195">
        <v>5</v>
      </c>
      <c r="L146" s="195">
        <v>5</v>
      </c>
      <c r="M146" s="196">
        <v>5</v>
      </c>
    </row>
    <row r="147" spans="1:13" x14ac:dyDescent="0.25">
      <c r="A147" s="194">
        <v>146</v>
      </c>
      <c r="B147" s="195">
        <v>5</v>
      </c>
      <c r="C147" s="195">
        <v>5</v>
      </c>
      <c r="D147" s="195">
        <v>5</v>
      </c>
      <c r="E147" s="195">
        <v>5</v>
      </c>
      <c r="F147" s="195">
        <v>5</v>
      </c>
      <c r="G147" s="195">
        <v>5</v>
      </c>
      <c r="H147" s="195">
        <v>5</v>
      </c>
      <c r="I147" s="195">
        <v>5</v>
      </c>
      <c r="J147" s="195">
        <v>5</v>
      </c>
      <c r="K147" s="195">
        <v>5</v>
      </c>
      <c r="L147" s="195">
        <v>5</v>
      </c>
      <c r="M147" s="196">
        <v>5</v>
      </c>
    </row>
    <row r="148" spans="1:13" x14ac:dyDescent="0.25">
      <c r="A148" s="194">
        <v>147</v>
      </c>
      <c r="B148" s="195">
        <v>5</v>
      </c>
      <c r="C148" s="195">
        <v>5</v>
      </c>
      <c r="D148" s="195">
        <v>5</v>
      </c>
      <c r="E148" s="195">
        <v>5</v>
      </c>
      <c r="F148" s="195">
        <v>5</v>
      </c>
      <c r="G148" s="195">
        <v>5</v>
      </c>
      <c r="H148" s="195">
        <v>5</v>
      </c>
      <c r="I148" s="195">
        <v>5</v>
      </c>
      <c r="J148" s="195">
        <v>5</v>
      </c>
      <c r="K148" s="195">
        <v>5</v>
      </c>
      <c r="L148" s="195">
        <v>5</v>
      </c>
      <c r="M148" s="196">
        <v>5</v>
      </c>
    </row>
    <row r="149" spans="1:13" x14ac:dyDescent="0.25">
      <c r="A149" s="194">
        <v>148</v>
      </c>
      <c r="B149" s="195">
        <v>5</v>
      </c>
      <c r="C149" s="195">
        <v>3</v>
      </c>
      <c r="D149" s="195">
        <v>5</v>
      </c>
      <c r="E149" s="195">
        <v>5</v>
      </c>
      <c r="F149" s="195">
        <v>5</v>
      </c>
      <c r="G149" s="195">
        <v>5</v>
      </c>
      <c r="H149" s="195">
        <v>4</v>
      </c>
      <c r="I149" s="195">
        <v>4</v>
      </c>
      <c r="J149" s="195">
        <v>5</v>
      </c>
      <c r="K149" s="195">
        <v>5</v>
      </c>
      <c r="L149" s="195">
        <v>5</v>
      </c>
      <c r="M149" s="196">
        <v>5</v>
      </c>
    </row>
    <row r="150" spans="1:13" x14ac:dyDescent="0.25">
      <c r="A150" s="194">
        <v>149</v>
      </c>
      <c r="B150" s="195">
        <v>5</v>
      </c>
      <c r="C150" s="195">
        <v>5</v>
      </c>
      <c r="D150" s="195">
        <v>5</v>
      </c>
      <c r="E150" s="195">
        <v>5</v>
      </c>
      <c r="F150" s="195">
        <v>5</v>
      </c>
      <c r="G150" s="195">
        <v>5</v>
      </c>
      <c r="H150" s="195">
        <v>5</v>
      </c>
      <c r="I150" s="195">
        <v>5</v>
      </c>
      <c r="J150" s="195">
        <v>5</v>
      </c>
      <c r="K150" s="195">
        <v>5</v>
      </c>
      <c r="L150" s="195">
        <v>5</v>
      </c>
      <c r="M150" s="196">
        <v>5</v>
      </c>
    </row>
    <row r="151" spans="1:13" x14ac:dyDescent="0.25">
      <c r="A151" s="194">
        <v>150</v>
      </c>
      <c r="B151" s="195">
        <v>5</v>
      </c>
      <c r="C151" s="195">
        <v>5</v>
      </c>
      <c r="D151" s="195">
        <v>5</v>
      </c>
      <c r="E151" s="195">
        <v>5</v>
      </c>
      <c r="F151" s="195">
        <v>5</v>
      </c>
      <c r="G151" s="195">
        <v>5</v>
      </c>
      <c r="H151" s="195">
        <v>5</v>
      </c>
      <c r="I151" s="195">
        <v>5</v>
      </c>
      <c r="J151" s="195">
        <v>5</v>
      </c>
      <c r="K151" s="195">
        <v>5</v>
      </c>
      <c r="L151" s="195">
        <v>5</v>
      </c>
      <c r="M151" s="196">
        <v>5</v>
      </c>
    </row>
    <row r="152" spans="1:13" x14ac:dyDescent="0.25">
      <c r="A152" s="194">
        <v>151</v>
      </c>
      <c r="B152" s="195">
        <v>5</v>
      </c>
      <c r="C152" s="195">
        <v>5</v>
      </c>
      <c r="D152" s="195">
        <v>5</v>
      </c>
      <c r="E152" s="195">
        <v>5</v>
      </c>
      <c r="F152" s="195">
        <v>5</v>
      </c>
      <c r="G152" s="195">
        <v>5</v>
      </c>
      <c r="H152" s="195">
        <v>5</v>
      </c>
      <c r="I152" s="195">
        <v>5</v>
      </c>
      <c r="J152" s="195">
        <v>5</v>
      </c>
      <c r="K152" s="195">
        <v>5</v>
      </c>
      <c r="L152" s="195">
        <v>5</v>
      </c>
      <c r="M152" s="196">
        <v>5</v>
      </c>
    </row>
    <row r="153" spans="1:13" x14ac:dyDescent="0.25">
      <c r="A153" s="194">
        <v>152</v>
      </c>
      <c r="B153" s="195">
        <v>5</v>
      </c>
      <c r="C153" s="195">
        <v>5</v>
      </c>
      <c r="D153" s="195">
        <v>5</v>
      </c>
      <c r="E153" s="195">
        <v>5</v>
      </c>
      <c r="F153" s="195">
        <v>5</v>
      </c>
      <c r="G153" s="195">
        <v>5</v>
      </c>
      <c r="H153" s="195">
        <v>5</v>
      </c>
      <c r="I153" s="195">
        <v>5</v>
      </c>
      <c r="J153" s="195">
        <v>5</v>
      </c>
      <c r="K153" s="195">
        <v>5</v>
      </c>
      <c r="L153" s="195">
        <v>5</v>
      </c>
      <c r="M153" s="196">
        <v>5</v>
      </c>
    </row>
    <row r="154" spans="1:13" x14ac:dyDescent="0.25">
      <c r="A154" s="194">
        <v>153</v>
      </c>
      <c r="B154" s="195">
        <v>5</v>
      </c>
      <c r="C154" s="195">
        <v>5</v>
      </c>
      <c r="D154" s="195">
        <v>5</v>
      </c>
      <c r="E154" s="195">
        <v>5</v>
      </c>
      <c r="F154" s="195">
        <v>5</v>
      </c>
      <c r="G154" s="195">
        <v>5</v>
      </c>
      <c r="H154" s="195">
        <v>5</v>
      </c>
      <c r="I154" s="195">
        <v>5</v>
      </c>
      <c r="J154" s="195">
        <v>5</v>
      </c>
      <c r="K154" s="195">
        <v>5</v>
      </c>
      <c r="L154" s="195">
        <v>5</v>
      </c>
      <c r="M154" s="196">
        <v>5</v>
      </c>
    </row>
    <row r="155" spans="1:13" x14ac:dyDescent="0.25">
      <c r="A155" s="194">
        <v>154</v>
      </c>
      <c r="B155" s="195">
        <v>5</v>
      </c>
      <c r="C155" s="195">
        <v>5</v>
      </c>
      <c r="D155" s="195">
        <v>5</v>
      </c>
      <c r="E155" s="195">
        <v>5</v>
      </c>
      <c r="F155" s="195">
        <v>5</v>
      </c>
      <c r="G155" s="195">
        <v>5</v>
      </c>
      <c r="H155" s="195">
        <v>5</v>
      </c>
      <c r="I155" s="195">
        <v>5</v>
      </c>
      <c r="J155" s="195">
        <v>5</v>
      </c>
      <c r="K155" s="195">
        <v>5</v>
      </c>
      <c r="L155" s="195">
        <v>5</v>
      </c>
      <c r="M155" s="196">
        <v>5</v>
      </c>
    </row>
    <row r="156" spans="1:13" x14ac:dyDescent="0.25">
      <c r="A156" s="194">
        <v>155</v>
      </c>
      <c r="B156" s="195">
        <v>5</v>
      </c>
      <c r="C156" s="195">
        <v>5</v>
      </c>
      <c r="D156" s="195">
        <v>5</v>
      </c>
      <c r="E156" s="195">
        <v>5</v>
      </c>
      <c r="F156" s="195">
        <v>5</v>
      </c>
      <c r="G156" s="195">
        <v>5</v>
      </c>
      <c r="H156" s="195">
        <v>5</v>
      </c>
      <c r="I156" s="195">
        <v>5</v>
      </c>
      <c r="J156" s="195">
        <v>5</v>
      </c>
      <c r="K156" s="195">
        <v>5</v>
      </c>
      <c r="L156" s="195">
        <v>4</v>
      </c>
      <c r="M156" s="196">
        <v>5</v>
      </c>
    </row>
    <row r="157" spans="1:13" x14ac:dyDescent="0.25">
      <c r="A157" s="194">
        <v>156</v>
      </c>
      <c r="B157" s="195">
        <v>5</v>
      </c>
      <c r="C157" s="195">
        <v>5</v>
      </c>
      <c r="D157" s="195">
        <v>5</v>
      </c>
      <c r="E157" s="195">
        <v>5</v>
      </c>
      <c r="F157" s="195">
        <v>5</v>
      </c>
      <c r="G157" s="195">
        <v>5</v>
      </c>
      <c r="H157" s="195">
        <v>5</v>
      </c>
      <c r="I157" s="195">
        <v>5</v>
      </c>
      <c r="J157" s="195">
        <v>5</v>
      </c>
      <c r="K157" s="195">
        <v>5</v>
      </c>
      <c r="L157" s="195">
        <v>5</v>
      </c>
      <c r="M157" s="196">
        <v>5</v>
      </c>
    </row>
    <row r="158" spans="1:13" x14ac:dyDescent="0.25">
      <c r="A158" s="194">
        <v>157</v>
      </c>
      <c r="B158" s="195">
        <v>5</v>
      </c>
      <c r="C158" s="195">
        <v>5</v>
      </c>
      <c r="D158" s="195">
        <v>5</v>
      </c>
      <c r="E158" s="195">
        <v>5</v>
      </c>
      <c r="F158" s="195">
        <v>5</v>
      </c>
      <c r="G158" s="195">
        <v>5</v>
      </c>
      <c r="H158" s="195">
        <v>5</v>
      </c>
      <c r="I158" s="195">
        <v>5</v>
      </c>
      <c r="J158" s="195">
        <v>5</v>
      </c>
      <c r="K158" s="195">
        <v>5</v>
      </c>
      <c r="L158" s="195">
        <v>5</v>
      </c>
      <c r="M158" s="196">
        <v>5</v>
      </c>
    </row>
    <row r="159" spans="1:13" x14ac:dyDescent="0.25">
      <c r="A159" s="194">
        <v>158</v>
      </c>
      <c r="B159" s="195">
        <v>5</v>
      </c>
      <c r="C159" s="195">
        <v>5</v>
      </c>
      <c r="D159" s="195">
        <v>5</v>
      </c>
      <c r="E159" s="195">
        <v>4</v>
      </c>
      <c r="F159" s="195">
        <v>5</v>
      </c>
      <c r="G159" s="195">
        <v>4</v>
      </c>
      <c r="H159" s="195">
        <v>5</v>
      </c>
      <c r="I159" s="195">
        <v>4</v>
      </c>
      <c r="J159" s="195">
        <v>5</v>
      </c>
      <c r="K159" s="195">
        <v>5</v>
      </c>
      <c r="L159" s="195">
        <v>5</v>
      </c>
      <c r="M159" s="196">
        <v>5</v>
      </c>
    </row>
    <row r="160" spans="1:13" x14ac:dyDescent="0.25">
      <c r="A160" s="194">
        <v>159</v>
      </c>
      <c r="B160" s="195">
        <v>5</v>
      </c>
      <c r="C160" s="195">
        <v>5</v>
      </c>
      <c r="D160" s="195">
        <v>5</v>
      </c>
      <c r="E160" s="195">
        <v>3</v>
      </c>
      <c r="F160" s="195">
        <v>5</v>
      </c>
      <c r="G160" s="195">
        <v>5</v>
      </c>
      <c r="H160" s="195">
        <v>4</v>
      </c>
      <c r="I160" s="195">
        <v>5</v>
      </c>
      <c r="J160" s="195">
        <v>5</v>
      </c>
      <c r="K160" s="195">
        <v>5</v>
      </c>
      <c r="L160" s="195">
        <v>5</v>
      </c>
      <c r="M160" s="196">
        <v>5</v>
      </c>
    </row>
    <row r="161" spans="1:13" x14ac:dyDescent="0.25">
      <c r="A161" s="194">
        <v>160</v>
      </c>
      <c r="B161" s="195">
        <v>5</v>
      </c>
      <c r="C161" s="195">
        <v>5</v>
      </c>
      <c r="D161" s="195">
        <v>5</v>
      </c>
      <c r="E161" s="195">
        <v>4</v>
      </c>
      <c r="F161" s="195">
        <v>5</v>
      </c>
      <c r="G161" s="195">
        <v>5</v>
      </c>
      <c r="H161" s="195">
        <v>5</v>
      </c>
      <c r="I161" s="195">
        <v>5</v>
      </c>
      <c r="J161" s="195">
        <v>5</v>
      </c>
      <c r="K161" s="195">
        <v>5</v>
      </c>
      <c r="L161" s="195">
        <v>5</v>
      </c>
      <c r="M161" s="196">
        <v>5</v>
      </c>
    </row>
    <row r="162" spans="1:13" x14ac:dyDescent="0.25">
      <c r="A162" s="194">
        <v>161</v>
      </c>
      <c r="B162" s="195">
        <v>5</v>
      </c>
      <c r="C162" s="195">
        <v>5</v>
      </c>
      <c r="D162" s="195">
        <v>5</v>
      </c>
      <c r="E162" s="195">
        <v>5</v>
      </c>
      <c r="F162" s="195">
        <v>5</v>
      </c>
      <c r="G162" s="195">
        <v>5</v>
      </c>
      <c r="H162" s="195">
        <v>4</v>
      </c>
      <c r="I162" s="195">
        <v>5</v>
      </c>
      <c r="J162" s="195">
        <v>5</v>
      </c>
      <c r="K162" s="195">
        <v>4</v>
      </c>
      <c r="L162" s="195">
        <v>5</v>
      </c>
      <c r="M162" s="196">
        <v>5</v>
      </c>
    </row>
    <row r="163" spans="1:13" x14ac:dyDescent="0.25">
      <c r="A163" s="194">
        <v>162</v>
      </c>
      <c r="B163" s="195">
        <v>5</v>
      </c>
      <c r="C163" s="195">
        <v>5</v>
      </c>
      <c r="D163" s="195">
        <v>5</v>
      </c>
      <c r="E163" s="195">
        <v>4</v>
      </c>
      <c r="F163" s="195">
        <v>5</v>
      </c>
      <c r="G163" s="195">
        <v>4</v>
      </c>
      <c r="H163" s="195">
        <v>5</v>
      </c>
      <c r="I163" s="195">
        <v>5</v>
      </c>
      <c r="J163" s="195">
        <v>4</v>
      </c>
      <c r="K163" s="195">
        <v>5</v>
      </c>
      <c r="L163" s="195">
        <v>4</v>
      </c>
      <c r="M163" s="196">
        <v>5</v>
      </c>
    </row>
    <row r="164" spans="1:13" x14ac:dyDescent="0.25">
      <c r="A164" s="194">
        <v>163</v>
      </c>
      <c r="B164" s="195">
        <v>5</v>
      </c>
      <c r="C164" s="195">
        <v>5</v>
      </c>
      <c r="D164" s="195">
        <v>5</v>
      </c>
      <c r="E164" s="195">
        <v>5</v>
      </c>
      <c r="F164" s="195">
        <v>5</v>
      </c>
      <c r="G164" s="195">
        <v>5</v>
      </c>
      <c r="H164" s="195">
        <v>5</v>
      </c>
      <c r="I164" s="195">
        <v>5</v>
      </c>
      <c r="J164" s="195">
        <v>5</v>
      </c>
      <c r="K164" s="195">
        <v>5</v>
      </c>
      <c r="L164" s="195">
        <v>5</v>
      </c>
      <c r="M164" s="196">
        <v>5</v>
      </c>
    </row>
    <row r="165" spans="1:13" x14ac:dyDescent="0.25">
      <c r="A165" s="194">
        <v>164</v>
      </c>
      <c r="B165" s="195">
        <v>5</v>
      </c>
      <c r="C165" s="195">
        <v>5</v>
      </c>
      <c r="D165" s="195">
        <v>5</v>
      </c>
      <c r="E165" s="195">
        <v>5</v>
      </c>
      <c r="F165" s="195">
        <v>5</v>
      </c>
      <c r="G165" s="195">
        <v>5</v>
      </c>
      <c r="H165" s="195">
        <v>5</v>
      </c>
      <c r="I165" s="195">
        <v>5</v>
      </c>
      <c r="J165" s="195">
        <v>5</v>
      </c>
      <c r="K165" s="195">
        <v>5</v>
      </c>
      <c r="L165" s="195">
        <v>5</v>
      </c>
      <c r="M165" s="196">
        <v>5</v>
      </c>
    </row>
    <row r="166" spans="1:13" x14ac:dyDescent="0.25">
      <c r="A166" s="194">
        <v>165</v>
      </c>
      <c r="B166" s="195">
        <v>5</v>
      </c>
      <c r="C166" s="195">
        <v>5</v>
      </c>
      <c r="D166" s="195">
        <v>5</v>
      </c>
      <c r="E166" s="195">
        <v>5</v>
      </c>
      <c r="F166" s="195">
        <v>5</v>
      </c>
      <c r="G166" s="195">
        <v>5</v>
      </c>
      <c r="H166" s="195">
        <v>5</v>
      </c>
      <c r="I166" s="195">
        <v>5</v>
      </c>
      <c r="J166" s="195">
        <v>5</v>
      </c>
      <c r="K166" s="195">
        <v>5</v>
      </c>
      <c r="L166" s="195">
        <v>5</v>
      </c>
      <c r="M166" s="196">
        <v>5</v>
      </c>
    </row>
    <row r="167" spans="1:13" x14ac:dyDescent="0.25">
      <c r="A167" s="194">
        <v>166</v>
      </c>
      <c r="B167" s="195">
        <v>5</v>
      </c>
      <c r="C167" s="195">
        <v>5</v>
      </c>
      <c r="D167" s="195">
        <v>3</v>
      </c>
      <c r="E167" s="195">
        <v>5</v>
      </c>
      <c r="F167" s="195">
        <v>5</v>
      </c>
      <c r="G167" s="195">
        <v>4</v>
      </c>
      <c r="H167" s="195">
        <v>5</v>
      </c>
      <c r="I167" s="195">
        <v>4</v>
      </c>
      <c r="J167" s="195">
        <v>3</v>
      </c>
      <c r="K167" s="195">
        <v>3</v>
      </c>
      <c r="L167" s="195">
        <v>3</v>
      </c>
      <c r="M167" s="196">
        <v>5</v>
      </c>
    </row>
    <row r="168" spans="1:13" x14ac:dyDescent="0.25">
      <c r="A168" s="194">
        <v>167</v>
      </c>
      <c r="B168" s="195">
        <v>5</v>
      </c>
      <c r="C168" s="195">
        <v>5</v>
      </c>
      <c r="D168" s="195">
        <v>5</v>
      </c>
      <c r="E168" s="195">
        <v>5</v>
      </c>
      <c r="F168" s="195">
        <v>5</v>
      </c>
      <c r="G168" s="195">
        <v>5</v>
      </c>
      <c r="H168" s="195">
        <v>5</v>
      </c>
      <c r="I168" s="195">
        <v>5</v>
      </c>
      <c r="J168" s="195">
        <v>5</v>
      </c>
      <c r="K168" s="195">
        <v>5</v>
      </c>
      <c r="L168" s="195">
        <v>5</v>
      </c>
      <c r="M168" s="196">
        <v>5</v>
      </c>
    </row>
    <row r="169" spans="1:13" x14ac:dyDescent="0.25">
      <c r="A169" s="194">
        <v>168</v>
      </c>
      <c r="B169" s="195">
        <v>5</v>
      </c>
      <c r="C169" s="195">
        <v>5</v>
      </c>
      <c r="D169" s="195">
        <v>5</v>
      </c>
      <c r="E169" s="195">
        <v>5</v>
      </c>
      <c r="F169" s="195">
        <v>5</v>
      </c>
      <c r="G169" s="195">
        <v>5</v>
      </c>
      <c r="H169" s="195">
        <v>5</v>
      </c>
      <c r="I169" s="195">
        <v>5</v>
      </c>
      <c r="J169" s="195">
        <v>5</v>
      </c>
      <c r="K169" s="195">
        <v>5</v>
      </c>
      <c r="L169" s="195">
        <v>5</v>
      </c>
      <c r="M169" s="196">
        <v>5</v>
      </c>
    </row>
    <row r="170" spans="1:13" x14ac:dyDescent="0.25">
      <c r="A170" s="194">
        <v>169</v>
      </c>
      <c r="B170" s="195">
        <v>5</v>
      </c>
      <c r="C170" s="195">
        <v>5</v>
      </c>
      <c r="D170" s="195">
        <v>4</v>
      </c>
      <c r="E170" s="195">
        <v>3</v>
      </c>
      <c r="F170" s="195">
        <v>5</v>
      </c>
      <c r="G170" s="195">
        <v>3</v>
      </c>
      <c r="H170" s="195">
        <v>3</v>
      </c>
      <c r="I170" s="195">
        <v>3</v>
      </c>
      <c r="J170" s="195">
        <v>4</v>
      </c>
      <c r="K170" s="195">
        <v>4</v>
      </c>
      <c r="L170" s="195">
        <v>5</v>
      </c>
      <c r="M170" s="196">
        <v>5</v>
      </c>
    </row>
    <row r="171" spans="1:13" x14ac:dyDescent="0.25">
      <c r="A171" s="194">
        <v>170</v>
      </c>
      <c r="B171" s="195">
        <v>5</v>
      </c>
      <c r="C171" s="195">
        <v>5</v>
      </c>
      <c r="D171" s="195">
        <v>5</v>
      </c>
      <c r="E171" s="195">
        <v>4</v>
      </c>
      <c r="F171" s="195">
        <v>5</v>
      </c>
      <c r="G171" s="195">
        <v>3</v>
      </c>
      <c r="H171" s="195">
        <v>4</v>
      </c>
      <c r="I171" s="195">
        <v>5</v>
      </c>
      <c r="J171" s="195">
        <v>5</v>
      </c>
      <c r="K171" s="195">
        <v>5</v>
      </c>
      <c r="L171" s="195">
        <v>3</v>
      </c>
      <c r="M171" s="196">
        <v>5</v>
      </c>
    </row>
    <row r="172" spans="1:13" x14ac:dyDescent="0.25">
      <c r="A172" s="194">
        <v>171</v>
      </c>
      <c r="B172" s="195">
        <v>5</v>
      </c>
      <c r="C172" s="195">
        <v>5</v>
      </c>
      <c r="D172" s="195">
        <v>5</v>
      </c>
      <c r="E172" s="195">
        <v>5</v>
      </c>
      <c r="F172" s="195">
        <v>5</v>
      </c>
      <c r="G172" s="195">
        <v>5</v>
      </c>
      <c r="H172" s="195">
        <v>5</v>
      </c>
      <c r="I172" s="195">
        <v>5</v>
      </c>
      <c r="J172" s="195">
        <v>5</v>
      </c>
      <c r="K172" s="195">
        <v>5</v>
      </c>
      <c r="L172" s="195">
        <v>5</v>
      </c>
      <c r="M172" s="196">
        <v>5</v>
      </c>
    </row>
    <row r="173" spans="1:13" x14ac:dyDescent="0.25">
      <c r="A173" s="194">
        <v>172</v>
      </c>
      <c r="B173" s="195">
        <v>5</v>
      </c>
      <c r="C173" s="195">
        <v>5</v>
      </c>
      <c r="D173" s="195">
        <v>5</v>
      </c>
      <c r="E173" s="195">
        <v>5</v>
      </c>
      <c r="F173" s="195">
        <v>5</v>
      </c>
      <c r="G173" s="195">
        <v>5</v>
      </c>
      <c r="H173" s="195">
        <v>5</v>
      </c>
      <c r="I173" s="195">
        <v>5</v>
      </c>
      <c r="J173" s="195">
        <v>5</v>
      </c>
      <c r="K173" s="195">
        <v>5</v>
      </c>
      <c r="L173" s="195">
        <v>5</v>
      </c>
      <c r="M173" s="196">
        <v>5</v>
      </c>
    </row>
    <row r="174" spans="1:13" x14ac:dyDescent="0.25">
      <c r="A174" s="194">
        <v>173</v>
      </c>
      <c r="B174" s="195">
        <v>5</v>
      </c>
      <c r="C174" s="195">
        <v>5</v>
      </c>
      <c r="D174" s="195">
        <v>5</v>
      </c>
      <c r="E174" s="195">
        <v>5</v>
      </c>
      <c r="F174" s="195">
        <v>5</v>
      </c>
      <c r="G174" s="195">
        <v>5</v>
      </c>
      <c r="H174" s="195">
        <v>5</v>
      </c>
      <c r="I174" s="195">
        <v>5</v>
      </c>
      <c r="J174" s="195">
        <v>5</v>
      </c>
      <c r="K174" s="195">
        <v>5</v>
      </c>
      <c r="L174" s="195">
        <v>5</v>
      </c>
      <c r="M174" s="196">
        <v>5</v>
      </c>
    </row>
    <row r="175" spans="1:13" x14ac:dyDescent="0.25">
      <c r="A175" s="194">
        <v>174</v>
      </c>
      <c r="B175" s="195">
        <v>5</v>
      </c>
      <c r="C175" s="195">
        <v>5</v>
      </c>
      <c r="D175" s="195">
        <v>5</v>
      </c>
      <c r="E175" s="195">
        <v>5</v>
      </c>
      <c r="F175" s="195">
        <v>5</v>
      </c>
      <c r="G175" s="195">
        <v>5</v>
      </c>
      <c r="H175" s="195">
        <v>5</v>
      </c>
      <c r="I175" s="195">
        <v>5</v>
      </c>
      <c r="J175" s="195">
        <v>5</v>
      </c>
      <c r="K175" s="195">
        <v>5</v>
      </c>
      <c r="L175" s="195">
        <v>5</v>
      </c>
      <c r="M175" s="196">
        <v>5</v>
      </c>
    </row>
    <row r="176" spans="1:13" x14ac:dyDescent="0.25">
      <c r="A176" s="194">
        <v>175</v>
      </c>
      <c r="B176" s="195">
        <v>5</v>
      </c>
      <c r="C176" s="195">
        <v>5</v>
      </c>
      <c r="D176" s="195">
        <v>5</v>
      </c>
      <c r="E176" s="195">
        <v>5</v>
      </c>
      <c r="F176" s="195">
        <v>5</v>
      </c>
      <c r="G176" s="195">
        <v>5</v>
      </c>
      <c r="H176" s="195">
        <v>5</v>
      </c>
      <c r="I176" s="195">
        <v>5</v>
      </c>
      <c r="J176" s="195">
        <v>5</v>
      </c>
      <c r="K176" s="195">
        <v>5</v>
      </c>
      <c r="L176" s="195">
        <v>5</v>
      </c>
      <c r="M176" s="196">
        <v>5</v>
      </c>
    </row>
    <row r="177" spans="1:13" x14ac:dyDescent="0.25">
      <c r="A177" s="194">
        <v>176</v>
      </c>
      <c r="B177" s="195">
        <v>5</v>
      </c>
      <c r="C177" s="195">
        <v>5</v>
      </c>
      <c r="D177" s="195">
        <v>5</v>
      </c>
      <c r="E177" s="195">
        <v>5</v>
      </c>
      <c r="F177" s="195">
        <v>5</v>
      </c>
      <c r="G177" s="195">
        <v>5</v>
      </c>
      <c r="H177" s="195">
        <v>5</v>
      </c>
      <c r="I177" s="195">
        <v>4</v>
      </c>
      <c r="J177" s="195">
        <v>5</v>
      </c>
      <c r="K177" s="195">
        <v>5</v>
      </c>
      <c r="L177" s="195">
        <v>5</v>
      </c>
      <c r="M177" s="196">
        <v>5</v>
      </c>
    </row>
    <row r="178" spans="1:13" x14ac:dyDescent="0.25">
      <c r="A178" s="194">
        <v>177</v>
      </c>
      <c r="B178" s="195">
        <v>5</v>
      </c>
      <c r="C178" s="195">
        <v>5</v>
      </c>
      <c r="D178" s="195">
        <v>5</v>
      </c>
      <c r="E178" s="195">
        <v>5</v>
      </c>
      <c r="F178" s="195">
        <v>5</v>
      </c>
      <c r="G178" s="195">
        <v>5</v>
      </c>
      <c r="H178" s="195">
        <v>5</v>
      </c>
      <c r="I178" s="195">
        <v>5</v>
      </c>
      <c r="J178" s="195">
        <v>5</v>
      </c>
      <c r="K178" s="195">
        <v>5</v>
      </c>
      <c r="L178" s="195">
        <v>5</v>
      </c>
      <c r="M178" s="196">
        <v>5</v>
      </c>
    </row>
    <row r="179" spans="1:13" x14ac:dyDescent="0.25">
      <c r="A179" s="194">
        <v>178</v>
      </c>
      <c r="B179" s="195">
        <v>5</v>
      </c>
      <c r="C179" s="195">
        <v>5</v>
      </c>
      <c r="D179" s="195">
        <v>5</v>
      </c>
      <c r="E179" s="195">
        <v>5</v>
      </c>
      <c r="F179" s="195">
        <v>5</v>
      </c>
      <c r="G179" s="195">
        <v>5</v>
      </c>
      <c r="H179" s="195">
        <v>5</v>
      </c>
      <c r="I179" s="195">
        <v>5</v>
      </c>
      <c r="J179" s="195">
        <v>5</v>
      </c>
      <c r="K179" s="195">
        <v>5</v>
      </c>
      <c r="L179" s="195">
        <v>5</v>
      </c>
      <c r="M179" s="196">
        <v>5</v>
      </c>
    </row>
    <row r="180" spans="1:13" x14ac:dyDescent="0.25">
      <c r="A180" s="194">
        <v>179</v>
      </c>
      <c r="B180" s="195">
        <v>5</v>
      </c>
      <c r="C180" s="195">
        <v>5</v>
      </c>
      <c r="D180" s="195">
        <v>5</v>
      </c>
      <c r="E180" s="195">
        <v>5</v>
      </c>
      <c r="F180" s="195">
        <v>5</v>
      </c>
      <c r="G180" s="195">
        <v>5</v>
      </c>
      <c r="H180" s="195">
        <v>5</v>
      </c>
      <c r="I180" s="195">
        <v>5</v>
      </c>
      <c r="J180" s="195">
        <v>5</v>
      </c>
      <c r="K180" s="195">
        <v>5</v>
      </c>
      <c r="L180" s="195">
        <v>5</v>
      </c>
      <c r="M180" s="196">
        <v>5</v>
      </c>
    </row>
    <row r="181" spans="1:13" x14ac:dyDescent="0.25">
      <c r="A181" s="194">
        <v>180</v>
      </c>
      <c r="B181" s="195">
        <v>5</v>
      </c>
      <c r="C181" s="195">
        <v>5</v>
      </c>
      <c r="D181" s="195">
        <v>5</v>
      </c>
      <c r="E181" s="195">
        <v>5</v>
      </c>
      <c r="F181" s="195">
        <v>5</v>
      </c>
      <c r="G181" s="195">
        <v>5</v>
      </c>
      <c r="H181" s="195">
        <v>5</v>
      </c>
      <c r="I181" s="195">
        <v>5</v>
      </c>
      <c r="J181" s="195">
        <v>5</v>
      </c>
      <c r="K181" s="195">
        <v>5</v>
      </c>
      <c r="L181" s="195">
        <v>4</v>
      </c>
      <c r="M181" s="196">
        <v>5</v>
      </c>
    </row>
    <row r="182" spans="1:13" x14ac:dyDescent="0.25">
      <c r="A182" s="194">
        <v>181</v>
      </c>
      <c r="B182" s="195">
        <v>5</v>
      </c>
      <c r="C182" s="195">
        <v>5</v>
      </c>
      <c r="D182" s="195">
        <v>5</v>
      </c>
      <c r="E182" s="195">
        <v>5</v>
      </c>
      <c r="F182" s="195">
        <v>5</v>
      </c>
      <c r="G182" s="195">
        <v>5</v>
      </c>
      <c r="H182" s="195">
        <v>5</v>
      </c>
      <c r="I182" s="195">
        <v>5</v>
      </c>
      <c r="J182" s="195">
        <v>5</v>
      </c>
      <c r="K182" s="195">
        <v>5</v>
      </c>
      <c r="L182" s="195">
        <v>5</v>
      </c>
      <c r="M182" s="196">
        <v>5</v>
      </c>
    </row>
    <row r="183" spans="1:13" x14ac:dyDescent="0.25">
      <c r="A183" s="194">
        <v>182</v>
      </c>
      <c r="B183" s="195">
        <v>5</v>
      </c>
      <c r="C183" s="195">
        <v>5</v>
      </c>
      <c r="D183" s="195">
        <v>4</v>
      </c>
      <c r="E183" s="195">
        <v>5</v>
      </c>
      <c r="F183" s="195">
        <v>5</v>
      </c>
      <c r="G183" s="195">
        <v>1</v>
      </c>
      <c r="H183" s="195">
        <v>5</v>
      </c>
      <c r="I183" s="195">
        <v>5</v>
      </c>
      <c r="J183" s="195">
        <v>5</v>
      </c>
      <c r="K183" s="195">
        <v>4</v>
      </c>
      <c r="L183" s="195">
        <v>4</v>
      </c>
      <c r="M183" s="196">
        <v>5</v>
      </c>
    </row>
    <row r="184" spans="1:13" x14ac:dyDescent="0.25">
      <c r="A184" s="194">
        <v>183</v>
      </c>
      <c r="B184" s="195">
        <v>5</v>
      </c>
      <c r="C184" s="195">
        <v>5</v>
      </c>
      <c r="D184" s="195">
        <v>5</v>
      </c>
      <c r="E184" s="195">
        <v>5</v>
      </c>
      <c r="F184" s="195">
        <v>5</v>
      </c>
      <c r="G184" s="195">
        <v>4</v>
      </c>
      <c r="H184" s="195">
        <v>5</v>
      </c>
      <c r="I184" s="195">
        <v>5</v>
      </c>
      <c r="J184" s="195">
        <v>5</v>
      </c>
      <c r="K184" s="195">
        <v>5</v>
      </c>
      <c r="L184" s="195">
        <v>5</v>
      </c>
      <c r="M184" s="196">
        <v>5</v>
      </c>
    </row>
    <row r="185" spans="1:13" x14ac:dyDescent="0.25">
      <c r="A185" s="194">
        <v>184</v>
      </c>
      <c r="B185" s="195">
        <v>5</v>
      </c>
      <c r="C185" s="195">
        <v>5</v>
      </c>
      <c r="D185" s="195">
        <v>5</v>
      </c>
      <c r="E185" s="195">
        <v>5</v>
      </c>
      <c r="F185" s="195">
        <v>5</v>
      </c>
      <c r="G185" s="195">
        <v>5</v>
      </c>
      <c r="H185" s="195">
        <v>5</v>
      </c>
      <c r="I185" s="195">
        <v>5</v>
      </c>
      <c r="J185" s="195">
        <v>5</v>
      </c>
      <c r="K185" s="195">
        <v>5</v>
      </c>
      <c r="L185" s="195">
        <v>5</v>
      </c>
      <c r="M185" s="196">
        <v>5</v>
      </c>
    </row>
    <row r="186" spans="1:13" x14ac:dyDescent="0.25">
      <c r="A186" s="194">
        <v>185</v>
      </c>
      <c r="B186" s="195">
        <v>5</v>
      </c>
      <c r="C186" s="195">
        <v>5</v>
      </c>
      <c r="D186" s="195">
        <v>5</v>
      </c>
      <c r="E186" s="195">
        <v>5</v>
      </c>
      <c r="F186" s="195">
        <v>5</v>
      </c>
      <c r="G186" s="195">
        <v>5</v>
      </c>
      <c r="H186" s="195">
        <v>5</v>
      </c>
      <c r="I186" s="195">
        <v>5</v>
      </c>
      <c r="J186" s="195">
        <v>5</v>
      </c>
      <c r="K186" s="195">
        <v>5</v>
      </c>
      <c r="L186" s="195">
        <v>5</v>
      </c>
      <c r="M186" s="196">
        <v>5</v>
      </c>
    </row>
    <row r="187" spans="1:13" x14ac:dyDescent="0.25">
      <c r="A187" s="194">
        <v>186</v>
      </c>
      <c r="B187" s="195">
        <v>5</v>
      </c>
      <c r="C187" s="195">
        <v>5</v>
      </c>
      <c r="D187" s="195">
        <v>5</v>
      </c>
      <c r="E187" s="195">
        <v>5</v>
      </c>
      <c r="F187" s="195">
        <v>5</v>
      </c>
      <c r="G187" s="195">
        <v>4</v>
      </c>
      <c r="H187" s="195">
        <v>5</v>
      </c>
      <c r="I187" s="195">
        <v>5</v>
      </c>
      <c r="J187" s="195">
        <v>5</v>
      </c>
      <c r="K187" s="195">
        <v>5</v>
      </c>
      <c r="L187" s="195">
        <v>4</v>
      </c>
      <c r="M187" s="196">
        <v>5</v>
      </c>
    </row>
    <row r="188" spans="1:13" x14ac:dyDescent="0.25">
      <c r="A188" s="194">
        <v>187</v>
      </c>
      <c r="B188" s="195">
        <v>5</v>
      </c>
      <c r="C188" s="195">
        <v>5</v>
      </c>
      <c r="D188" s="195">
        <v>5</v>
      </c>
      <c r="E188" s="195">
        <v>3</v>
      </c>
      <c r="F188" s="195">
        <v>5</v>
      </c>
      <c r="G188" s="195">
        <v>4</v>
      </c>
      <c r="H188" s="195">
        <v>3</v>
      </c>
      <c r="I188" s="195">
        <v>4</v>
      </c>
      <c r="J188" s="195">
        <v>4</v>
      </c>
      <c r="K188" s="195">
        <v>2</v>
      </c>
      <c r="L188" s="195">
        <v>1</v>
      </c>
      <c r="M188" s="196">
        <v>5</v>
      </c>
    </row>
    <row r="189" spans="1:13" x14ac:dyDescent="0.25">
      <c r="A189" s="194">
        <v>188</v>
      </c>
      <c r="B189" s="195">
        <v>5</v>
      </c>
      <c r="C189" s="195">
        <v>5</v>
      </c>
      <c r="D189" s="195">
        <v>5</v>
      </c>
      <c r="E189" s="195">
        <v>5</v>
      </c>
      <c r="F189" s="195">
        <v>5</v>
      </c>
      <c r="G189" s="195">
        <v>4</v>
      </c>
      <c r="H189" s="195">
        <v>5</v>
      </c>
      <c r="I189" s="195">
        <v>5</v>
      </c>
      <c r="J189" s="195">
        <v>5</v>
      </c>
      <c r="K189" s="195">
        <v>3</v>
      </c>
      <c r="L189" s="195">
        <v>5</v>
      </c>
      <c r="M189" s="196">
        <v>5</v>
      </c>
    </row>
    <row r="190" spans="1:13" x14ac:dyDescent="0.25">
      <c r="A190" s="194">
        <v>189</v>
      </c>
      <c r="B190" s="195">
        <v>5</v>
      </c>
      <c r="C190" s="195">
        <v>4</v>
      </c>
      <c r="D190" s="195">
        <v>4</v>
      </c>
      <c r="E190" s="195">
        <v>4</v>
      </c>
      <c r="F190" s="195">
        <v>4</v>
      </c>
      <c r="G190" s="195">
        <v>4</v>
      </c>
      <c r="H190" s="195">
        <v>3</v>
      </c>
      <c r="I190" s="195">
        <v>5</v>
      </c>
      <c r="J190" s="195">
        <v>5</v>
      </c>
      <c r="K190" s="195">
        <v>5</v>
      </c>
      <c r="L190" s="195">
        <v>5</v>
      </c>
      <c r="M190" s="196">
        <v>5</v>
      </c>
    </row>
    <row r="191" spans="1:13" x14ac:dyDescent="0.25">
      <c r="A191" s="194">
        <v>190</v>
      </c>
      <c r="B191" s="195">
        <v>5</v>
      </c>
      <c r="C191" s="195">
        <v>5</v>
      </c>
      <c r="D191" s="195">
        <v>5</v>
      </c>
      <c r="E191" s="195">
        <v>3</v>
      </c>
      <c r="F191" s="195">
        <v>5</v>
      </c>
      <c r="G191" s="195">
        <v>3</v>
      </c>
      <c r="H191" s="195">
        <v>4</v>
      </c>
      <c r="I191" s="195">
        <v>5</v>
      </c>
      <c r="J191" s="195">
        <v>5</v>
      </c>
      <c r="K191" s="195">
        <v>5</v>
      </c>
      <c r="L191" s="195">
        <v>3</v>
      </c>
      <c r="M191" s="196">
        <v>5</v>
      </c>
    </row>
    <row r="192" spans="1:13" x14ac:dyDescent="0.25">
      <c r="A192" s="194">
        <v>191</v>
      </c>
      <c r="B192" s="195">
        <v>5</v>
      </c>
      <c r="C192" s="195">
        <v>5</v>
      </c>
      <c r="D192" s="195">
        <v>5</v>
      </c>
      <c r="E192" s="195">
        <v>4</v>
      </c>
      <c r="F192" s="195">
        <v>5</v>
      </c>
      <c r="G192" s="195">
        <v>5</v>
      </c>
      <c r="H192" s="195">
        <v>5</v>
      </c>
      <c r="I192" s="195">
        <v>5</v>
      </c>
      <c r="J192" s="195">
        <v>5</v>
      </c>
      <c r="K192" s="195">
        <v>5</v>
      </c>
      <c r="L192" s="195">
        <v>5</v>
      </c>
      <c r="M192" s="196">
        <v>5</v>
      </c>
    </row>
    <row r="193" spans="1:13" x14ac:dyDescent="0.25">
      <c r="A193" s="194">
        <v>192</v>
      </c>
      <c r="B193" s="195">
        <v>5</v>
      </c>
      <c r="C193" s="195">
        <v>5</v>
      </c>
      <c r="D193" s="195">
        <v>5</v>
      </c>
      <c r="E193" s="195">
        <v>5</v>
      </c>
      <c r="F193" s="195">
        <v>5</v>
      </c>
      <c r="G193" s="195">
        <v>5</v>
      </c>
      <c r="H193" s="195">
        <v>5</v>
      </c>
      <c r="I193" s="195">
        <v>5</v>
      </c>
      <c r="J193" s="195">
        <v>5</v>
      </c>
      <c r="K193" s="195">
        <v>5</v>
      </c>
      <c r="L193" s="195">
        <v>5</v>
      </c>
      <c r="M193" s="196">
        <v>5</v>
      </c>
    </row>
    <row r="194" spans="1:13" x14ac:dyDescent="0.25">
      <c r="A194" s="194">
        <v>193</v>
      </c>
      <c r="B194" s="195">
        <v>5</v>
      </c>
      <c r="C194" s="195">
        <v>5</v>
      </c>
      <c r="D194" s="195">
        <v>5</v>
      </c>
      <c r="E194" s="195">
        <v>5</v>
      </c>
      <c r="F194" s="195">
        <v>5</v>
      </c>
      <c r="G194" s="195">
        <v>5</v>
      </c>
      <c r="H194" s="195">
        <v>5</v>
      </c>
      <c r="I194" s="195">
        <v>5</v>
      </c>
      <c r="J194" s="195">
        <v>5</v>
      </c>
      <c r="K194" s="195">
        <v>5</v>
      </c>
      <c r="L194" s="195">
        <v>4</v>
      </c>
      <c r="M194" s="196">
        <v>5</v>
      </c>
    </row>
    <row r="195" spans="1:13" x14ac:dyDescent="0.25">
      <c r="A195" s="194">
        <v>194</v>
      </c>
      <c r="B195" s="195">
        <v>5</v>
      </c>
      <c r="C195" s="195">
        <v>5</v>
      </c>
      <c r="D195" s="195">
        <v>5</v>
      </c>
      <c r="E195" s="195">
        <v>5</v>
      </c>
      <c r="F195" s="195">
        <v>5</v>
      </c>
      <c r="G195" s="195">
        <v>5</v>
      </c>
      <c r="H195" s="195">
        <v>5</v>
      </c>
      <c r="I195" s="195">
        <v>5</v>
      </c>
      <c r="J195" s="195">
        <v>5</v>
      </c>
      <c r="K195" s="195">
        <v>5</v>
      </c>
      <c r="L195" s="195">
        <v>5</v>
      </c>
      <c r="M195" s="196">
        <v>5</v>
      </c>
    </row>
    <row r="196" spans="1:13" x14ac:dyDescent="0.25">
      <c r="A196" s="194">
        <v>195</v>
      </c>
      <c r="B196" s="195">
        <v>5</v>
      </c>
      <c r="C196" s="195">
        <v>5</v>
      </c>
      <c r="D196" s="195">
        <v>5</v>
      </c>
      <c r="E196" s="195">
        <v>5</v>
      </c>
      <c r="F196" s="195">
        <v>5</v>
      </c>
      <c r="G196" s="195">
        <v>5</v>
      </c>
      <c r="H196" s="195">
        <v>5</v>
      </c>
      <c r="I196" s="195">
        <v>5</v>
      </c>
      <c r="J196" s="195">
        <v>5</v>
      </c>
      <c r="K196" s="195">
        <v>5</v>
      </c>
      <c r="L196" s="195">
        <v>5</v>
      </c>
      <c r="M196" s="196">
        <v>5</v>
      </c>
    </row>
    <row r="197" spans="1:13" x14ac:dyDescent="0.25">
      <c r="A197" s="194">
        <v>196</v>
      </c>
      <c r="B197" s="195">
        <v>5</v>
      </c>
      <c r="C197" s="195">
        <v>5</v>
      </c>
      <c r="D197" s="195">
        <v>5</v>
      </c>
      <c r="E197" s="195">
        <v>4</v>
      </c>
      <c r="F197" s="195">
        <v>5</v>
      </c>
      <c r="G197" s="195">
        <v>5</v>
      </c>
      <c r="H197" s="195">
        <v>4</v>
      </c>
      <c r="I197" s="195">
        <v>5</v>
      </c>
      <c r="J197" s="195">
        <v>5</v>
      </c>
      <c r="K197" s="195">
        <v>5</v>
      </c>
      <c r="L197" s="195">
        <v>5</v>
      </c>
      <c r="M197" s="196">
        <v>5</v>
      </c>
    </row>
    <row r="198" spans="1:13" x14ac:dyDescent="0.25">
      <c r="A198" s="194">
        <v>197</v>
      </c>
      <c r="B198" s="195">
        <v>5</v>
      </c>
      <c r="C198" s="195">
        <v>5</v>
      </c>
      <c r="D198" s="195">
        <v>5</v>
      </c>
      <c r="E198" s="195">
        <v>3</v>
      </c>
      <c r="F198" s="195">
        <v>5</v>
      </c>
      <c r="G198" s="195">
        <v>5</v>
      </c>
      <c r="H198" s="195">
        <v>4</v>
      </c>
      <c r="I198" s="195">
        <v>5</v>
      </c>
      <c r="J198" s="195">
        <v>5</v>
      </c>
      <c r="K198" s="195">
        <v>5</v>
      </c>
      <c r="L198" s="195">
        <v>5</v>
      </c>
      <c r="M198" s="196">
        <v>5</v>
      </c>
    </row>
    <row r="199" spans="1:13" x14ac:dyDescent="0.25">
      <c r="A199" s="194">
        <v>198</v>
      </c>
      <c r="B199" s="195">
        <v>5</v>
      </c>
      <c r="C199" s="195">
        <v>5</v>
      </c>
      <c r="D199" s="195">
        <v>5</v>
      </c>
      <c r="E199" s="195">
        <v>5</v>
      </c>
      <c r="F199" s="195">
        <v>5</v>
      </c>
      <c r="G199" s="195">
        <v>5</v>
      </c>
      <c r="H199" s="195">
        <v>5</v>
      </c>
      <c r="I199" s="195">
        <v>5</v>
      </c>
      <c r="J199" s="195">
        <v>5</v>
      </c>
      <c r="K199" s="195">
        <v>5</v>
      </c>
      <c r="L199" s="195">
        <v>5</v>
      </c>
      <c r="M199" s="196">
        <v>5</v>
      </c>
    </row>
    <row r="200" spans="1:13" x14ac:dyDescent="0.25">
      <c r="A200" s="194">
        <v>199</v>
      </c>
      <c r="B200" s="195">
        <v>5</v>
      </c>
      <c r="C200" s="195">
        <v>5</v>
      </c>
      <c r="D200" s="195">
        <v>5</v>
      </c>
      <c r="E200" s="195">
        <v>5</v>
      </c>
      <c r="F200" s="195">
        <v>5</v>
      </c>
      <c r="G200" s="195">
        <v>5</v>
      </c>
      <c r="H200" s="195">
        <v>5</v>
      </c>
      <c r="I200" s="195">
        <v>5</v>
      </c>
      <c r="J200" s="195">
        <v>5</v>
      </c>
      <c r="K200" s="195">
        <v>5</v>
      </c>
      <c r="L200" s="195">
        <v>5</v>
      </c>
      <c r="M200" s="196">
        <v>5</v>
      </c>
    </row>
    <row r="201" spans="1:13" x14ac:dyDescent="0.25">
      <c r="A201" s="194">
        <v>200</v>
      </c>
      <c r="B201" s="195">
        <v>5</v>
      </c>
      <c r="C201" s="195">
        <v>5</v>
      </c>
      <c r="D201" s="195">
        <v>5</v>
      </c>
      <c r="E201" s="195">
        <v>5</v>
      </c>
      <c r="F201" s="195">
        <v>5</v>
      </c>
      <c r="G201" s="195">
        <v>5</v>
      </c>
      <c r="H201" s="195">
        <v>5</v>
      </c>
      <c r="I201" s="195">
        <v>5</v>
      </c>
      <c r="J201" s="195">
        <v>5</v>
      </c>
      <c r="K201" s="195">
        <v>5</v>
      </c>
      <c r="L201" s="195">
        <v>5</v>
      </c>
      <c r="M201" s="196">
        <v>5</v>
      </c>
    </row>
    <row r="202" spans="1:13" x14ac:dyDescent="0.25">
      <c r="A202" s="194">
        <v>201</v>
      </c>
      <c r="B202" s="195">
        <v>5</v>
      </c>
      <c r="C202" s="195">
        <v>5</v>
      </c>
      <c r="D202" s="195">
        <v>5</v>
      </c>
      <c r="E202" s="195">
        <v>4</v>
      </c>
      <c r="F202" s="195">
        <v>5</v>
      </c>
      <c r="G202" s="195">
        <v>3</v>
      </c>
      <c r="H202" s="195">
        <v>4</v>
      </c>
      <c r="I202" s="195">
        <v>4</v>
      </c>
      <c r="J202" s="195">
        <v>4</v>
      </c>
      <c r="K202" s="195">
        <v>5</v>
      </c>
      <c r="L202" s="195">
        <v>4</v>
      </c>
      <c r="M202" s="196">
        <v>5</v>
      </c>
    </row>
    <row r="203" spans="1:13" x14ac:dyDescent="0.25">
      <c r="A203" s="194">
        <v>202</v>
      </c>
      <c r="B203" s="195">
        <v>5</v>
      </c>
      <c r="C203" s="195">
        <v>5</v>
      </c>
      <c r="D203" s="195">
        <v>5</v>
      </c>
      <c r="E203" s="195">
        <v>5</v>
      </c>
      <c r="F203" s="195">
        <v>5</v>
      </c>
      <c r="G203" s="195">
        <v>5</v>
      </c>
      <c r="H203" s="195">
        <v>5</v>
      </c>
      <c r="I203" s="195">
        <v>5</v>
      </c>
      <c r="J203" s="195">
        <v>5</v>
      </c>
      <c r="K203" s="195">
        <v>5</v>
      </c>
      <c r="L203" s="195">
        <v>5</v>
      </c>
      <c r="M203" s="196">
        <v>5</v>
      </c>
    </row>
    <row r="204" spans="1:13" x14ac:dyDescent="0.25">
      <c r="A204" s="194">
        <v>203</v>
      </c>
      <c r="B204" s="195">
        <v>5</v>
      </c>
      <c r="C204" s="195">
        <v>5</v>
      </c>
      <c r="D204" s="195">
        <v>5</v>
      </c>
      <c r="E204" s="195">
        <v>5</v>
      </c>
      <c r="F204" s="195">
        <v>5</v>
      </c>
      <c r="G204" s="195">
        <v>5</v>
      </c>
      <c r="H204" s="195">
        <v>5</v>
      </c>
      <c r="I204" s="195">
        <v>5</v>
      </c>
      <c r="J204" s="195">
        <v>5</v>
      </c>
      <c r="K204" s="195">
        <v>5</v>
      </c>
      <c r="L204" s="195">
        <v>5</v>
      </c>
      <c r="M204" s="196">
        <v>5</v>
      </c>
    </row>
    <row r="205" spans="1:13" x14ac:dyDescent="0.25">
      <c r="A205" s="194">
        <v>204</v>
      </c>
      <c r="B205" s="195">
        <v>5</v>
      </c>
      <c r="C205" s="195">
        <v>5</v>
      </c>
      <c r="D205" s="195">
        <v>5</v>
      </c>
      <c r="E205" s="195">
        <v>5</v>
      </c>
      <c r="F205" s="195">
        <v>5</v>
      </c>
      <c r="G205" s="195">
        <v>5</v>
      </c>
      <c r="H205" s="195">
        <v>5</v>
      </c>
      <c r="I205" s="195">
        <v>5</v>
      </c>
      <c r="J205" s="195">
        <v>5</v>
      </c>
      <c r="K205" s="195">
        <v>5</v>
      </c>
      <c r="L205" s="195">
        <v>5</v>
      </c>
      <c r="M205" s="196">
        <v>5</v>
      </c>
    </row>
    <row r="206" spans="1:13" x14ac:dyDescent="0.25">
      <c r="A206" s="194">
        <v>205</v>
      </c>
      <c r="B206" s="195">
        <v>5</v>
      </c>
      <c r="C206" s="195">
        <v>5</v>
      </c>
      <c r="D206" s="195">
        <v>5</v>
      </c>
      <c r="E206" s="195">
        <v>5</v>
      </c>
      <c r="F206" s="195">
        <v>5</v>
      </c>
      <c r="G206" s="195">
        <v>5</v>
      </c>
      <c r="H206" s="195">
        <v>5</v>
      </c>
      <c r="I206" s="195">
        <v>5</v>
      </c>
      <c r="J206" s="195">
        <v>5</v>
      </c>
      <c r="K206" s="195">
        <v>5</v>
      </c>
      <c r="L206" s="195">
        <v>5</v>
      </c>
      <c r="M206" s="196">
        <v>5</v>
      </c>
    </row>
    <row r="207" spans="1:13" x14ac:dyDescent="0.25">
      <c r="A207" s="194">
        <v>206</v>
      </c>
      <c r="B207" s="195">
        <v>5</v>
      </c>
      <c r="C207" s="195">
        <v>5</v>
      </c>
      <c r="D207" s="195">
        <v>5</v>
      </c>
      <c r="E207" s="195">
        <v>5</v>
      </c>
      <c r="F207" s="195">
        <v>5</v>
      </c>
      <c r="G207" s="195">
        <v>5</v>
      </c>
      <c r="H207" s="195">
        <v>5</v>
      </c>
      <c r="I207" s="195">
        <v>5</v>
      </c>
      <c r="J207" s="195">
        <v>5</v>
      </c>
      <c r="K207" s="195">
        <v>5</v>
      </c>
      <c r="L207" s="195">
        <v>5</v>
      </c>
      <c r="M207" s="196">
        <v>5</v>
      </c>
    </row>
    <row r="208" spans="1:13" x14ac:dyDescent="0.25">
      <c r="A208" s="194">
        <v>207</v>
      </c>
      <c r="B208" s="195">
        <v>5</v>
      </c>
      <c r="C208" s="195">
        <v>5</v>
      </c>
      <c r="D208" s="195">
        <v>5</v>
      </c>
      <c r="E208" s="195">
        <v>5</v>
      </c>
      <c r="F208" s="195">
        <v>5</v>
      </c>
      <c r="G208" s="195">
        <v>5</v>
      </c>
      <c r="H208" s="195">
        <v>4</v>
      </c>
      <c r="I208" s="195">
        <v>5</v>
      </c>
      <c r="J208" s="195">
        <v>5</v>
      </c>
      <c r="K208" s="195">
        <v>5</v>
      </c>
      <c r="L208" s="195">
        <v>5</v>
      </c>
      <c r="M208" s="196">
        <v>5</v>
      </c>
    </row>
    <row r="209" spans="1:13" x14ac:dyDescent="0.25">
      <c r="A209" s="194">
        <v>208</v>
      </c>
      <c r="B209" s="195">
        <v>5</v>
      </c>
      <c r="C209" s="195">
        <v>5</v>
      </c>
      <c r="D209" s="195">
        <v>5</v>
      </c>
      <c r="E209" s="195">
        <v>5</v>
      </c>
      <c r="F209" s="195">
        <v>5</v>
      </c>
      <c r="G209" s="195">
        <v>4</v>
      </c>
      <c r="H209" s="195">
        <v>5</v>
      </c>
      <c r="I209" s="195">
        <v>5</v>
      </c>
      <c r="J209" s="195">
        <v>5</v>
      </c>
      <c r="K209" s="195">
        <v>5</v>
      </c>
      <c r="L209" s="195">
        <v>5</v>
      </c>
      <c r="M209" s="196">
        <v>5</v>
      </c>
    </row>
    <row r="210" spans="1:13" x14ac:dyDescent="0.25">
      <c r="A210" s="194">
        <v>209</v>
      </c>
      <c r="B210" s="195">
        <v>5</v>
      </c>
      <c r="C210" s="195">
        <v>5</v>
      </c>
      <c r="D210" s="195">
        <v>5</v>
      </c>
      <c r="E210" s="195">
        <v>5</v>
      </c>
      <c r="F210" s="195">
        <v>5</v>
      </c>
      <c r="G210" s="195">
        <v>5</v>
      </c>
      <c r="H210" s="195">
        <v>5</v>
      </c>
      <c r="I210" s="195">
        <v>5</v>
      </c>
      <c r="J210" s="195">
        <v>5</v>
      </c>
      <c r="K210" s="195">
        <v>5</v>
      </c>
      <c r="L210" s="195">
        <v>5</v>
      </c>
      <c r="M210" s="196">
        <v>5</v>
      </c>
    </row>
    <row r="211" spans="1:13" x14ac:dyDescent="0.25">
      <c r="A211" s="194">
        <v>210</v>
      </c>
      <c r="B211" s="195">
        <v>5</v>
      </c>
      <c r="C211" s="195">
        <v>5</v>
      </c>
      <c r="D211" s="195">
        <v>5</v>
      </c>
      <c r="E211" s="195">
        <v>5</v>
      </c>
      <c r="F211" s="195">
        <v>5</v>
      </c>
      <c r="G211" s="195">
        <v>5</v>
      </c>
      <c r="H211" s="195">
        <v>5</v>
      </c>
      <c r="I211" s="195">
        <v>5</v>
      </c>
      <c r="J211" s="195">
        <v>5</v>
      </c>
      <c r="K211" s="195">
        <v>4</v>
      </c>
      <c r="L211" s="195">
        <v>3</v>
      </c>
      <c r="M211" s="196">
        <v>5</v>
      </c>
    </row>
    <row r="212" spans="1:13" x14ac:dyDescent="0.25">
      <c r="A212" s="194">
        <v>211</v>
      </c>
      <c r="B212" s="195">
        <v>5</v>
      </c>
      <c r="C212" s="195">
        <v>5</v>
      </c>
      <c r="D212" s="195">
        <v>5</v>
      </c>
      <c r="E212" s="195">
        <v>5</v>
      </c>
      <c r="F212" s="195">
        <v>5</v>
      </c>
      <c r="G212" s="195">
        <v>5</v>
      </c>
      <c r="H212" s="195">
        <v>5</v>
      </c>
      <c r="I212" s="195">
        <v>4</v>
      </c>
      <c r="J212" s="195">
        <v>5</v>
      </c>
      <c r="K212" s="195">
        <v>5</v>
      </c>
      <c r="L212" s="195">
        <v>5</v>
      </c>
      <c r="M212" s="196">
        <v>5</v>
      </c>
    </row>
    <row r="213" spans="1:13" x14ac:dyDescent="0.25">
      <c r="A213" s="194">
        <v>212</v>
      </c>
      <c r="B213" s="195">
        <v>5</v>
      </c>
      <c r="C213" s="195">
        <v>5</v>
      </c>
      <c r="D213" s="195">
        <v>5</v>
      </c>
      <c r="E213" s="195">
        <v>5</v>
      </c>
      <c r="F213" s="195">
        <v>5</v>
      </c>
      <c r="G213" s="195">
        <v>3</v>
      </c>
      <c r="H213" s="195">
        <v>5</v>
      </c>
      <c r="I213" s="195">
        <v>5</v>
      </c>
      <c r="J213" s="195">
        <v>3</v>
      </c>
      <c r="K213" s="195">
        <v>5</v>
      </c>
      <c r="L213" s="195">
        <v>5</v>
      </c>
      <c r="M213" s="196">
        <v>5</v>
      </c>
    </row>
    <row r="214" spans="1:13" x14ac:dyDescent="0.25">
      <c r="A214" s="194">
        <v>213</v>
      </c>
      <c r="B214" s="195">
        <v>5</v>
      </c>
      <c r="C214" s="195">
        <v>5</v>
      </c>
      <c r="D214" s="195">
        <v>5</v>
      </c>
      <c r="E214" s="195">
        <v>4</v>
      </c>
      <c r="F214" s="195">
        <v>5</v>
      </c>
      <c r="G214" s="195">
        <v>5</v>
      </c>
      <c r="H214" s="195">
        <v>4</v>
      </c>
      <c r="I214" s="195">
        <v>5</v>
      </c>
      <c r="J214" s="195">
        <v>5</v>
      </c>
      <c r="K214" s="195">
        <v>5</v>
      </c>
      <c r="L214" s="195">
        <v>5</v>
      </c>
      <c r="M214" s="196">
        <v>5</v>
      </c>
    </row>
    <row r="215" spans="1:13" x14ac:dyDescent="0.25">
      <c r="A215" s="194">
        <v>214</v>
      </c>
      <c r="B215" s="195">
        <v>5</v>
      </c>
      <c r="C215" s="195">
        <v>5</v>
      </c>
      <c r="D215" s="195">
        <v>5</v>
      </c>
      <c r="E215" s="195">
        <v>5</v>
      </c>
      <c r="F215" s="195">
        <v>5</v>
      </c>
      <c r="G215" s="195">
        <v>4</v>
      </c>
      <c r="H215" s="195">
        <v>5</v>
      </c>
      <c r="I215" s="195">
        <v>5</v>
      </c>
      <c r="J215" s="195">
        <v>5</v>
      </c>
      <c r="K215" s="195">
        <v>5</v>
      </c>
      <c r="L215" s="195">
        <v>4</v>
      </c>
      <c r="M215" s="196">
        <v>5</v>
      </c>
    </row>
    <row r="216" spans="1:13" x14ac:dyDescent="0.25">
      <c r="A216" s="194">
        <v>215</v>
      </c>
      <c r="B216" s="195">
        <v>5</v>
      </c>
      <c r="C216" s="195">
        <v>5</v>
      </c>
      <c r="D216" s="195">
        <v>5</v>
      </c>
      <c r="E216" s="195">
        <v>4</v>
      </c>
      <c r="F216" s="195">
        <v>5</v>
      </c>
      <c r="G216" s="195">
        <v>5</v>
      </c>
      <c r="H216" s="195">
        <v>3</v>
      </c>
      <c r="I216" s="195">
        <v>5</v>
      </c>
      <c r="J216" s="195">
        <v>5</v>
      </c>
      <c r="K216" s="195">
        <v>5</v>
      </c>
      <c r="L216" s="195">
        <v>5</v>
      </c>
      <c r="M216" s="196">
        <v>5</v>
      </c>
    </row>
    <row r="217" spans="1:13" x14ac:dyDescent="0.25">
      <c r="A217" s="194">
        <v>216</v>
      </c>
      <c r="B217" s="195">
        <v>5</v>
      </c>
      <c r="C217" s="195">
        <v>5</v>
      </c>
      <c r="D217" s="195">
        <v>5</v>
      </c>
      <c r="E217" s="195">
        <v>5</v>
      </c>
      <c r="F217" s="195">
        <v>5</v>
      </c>
      <c r="G217" s="195">
        <v>5</v>
      </c>
      <c r="H217" s="195">
        <v>5</v>
      </c>
      <c r="I217" s="195">
        <v>5</v>
      </c>
      <c r="J217" s="195">
        <v>5</v>
      </c>
      <c r="K217" s="195">
        <v>5</v>
      </c>
      <c r="L217" s="195">
        <v>5</v>
      </c>
      <c r="M217" s="196">
        <v>5</v>
      </c>
    </row>
    <row r="218" spans="1:13" x14ac:dyDescent="0.25">
      <c r="A218" s="194">
        <v>217</v>
      </c>
      <c r="B218" s="195">
        <v>5</v>
      </c>
      <c r="C218" s="195">
        <v>5</v>
      </c>
      <c r="D218" s="195">
        <v>5</v>
      </c>
      <c r="E218" s="195">
        <v>5</v>
      </c>
      <c r="F218" s="195">
        <v>5</v>
      </c>
      <c r="G218" s="195">
        <v>5</v>
      </c>
      <c r="H218" s="195">
        <v>5</v>
      </c>
      <c r="I218" s="195">
        <v>5</v>
      </c>
      <c r="J218" s="195">
        <v>5</v>
      </c>
      <c r="K218" s="195">
        <v>5</v>
      </c>
      <c r="L218" s="195">
        <v>4</v>
      </c>
      <c r="M218" s="196">
        <v>5</v>
      </c>
    </row>
    <row r="219" spans="1:13" x14ac:dyDescent="0.25">
      <c r="A219" s="194">
        <v>218</v>
      </c>
      <c r="B219" s="195">
        <v>5</v>
      </c>
      <c r="C219" s="195">
        <v>5</v>
      </c>
      <c r="D219" s="195">
        <v>5</v>
      </c>
      <c r="E219" s="195">
        <v>5</v>
      </c>
      <c r="F219" s="195">
        <v>5</v>
      </c>
      <c r="G219" s="195">
        <v>5</v>
      </c>
      <c r="H219" s="195">
        <v>5</v>
      </c>
      <c r="I219" s="195">
        <v>5</v>
      </c>
      <c r="J219" s="195">
        <v>5</v>
      </c>
      <c r="K219" s="195">
        <v>5</v>
      </c>
      <c r="L219" s="195">
        <v>5</v>
      </c>
      <c r="M219" s="196">
        <v>5</v>
      </c>
    </row>
    <row r="220" spans="1:13" x14ac:dyDescent="0.25">
      <c r="A220" s="194">
        <v>219</v>
      </c>
      <c r="B220" s="195">
        <v>5</v>
      </c>
      <c r="C220" s="195">
        <v>5</v>
      </c>
      <c r="D220" s="195">
        <v>5</v>
      </c>
      <c r="E220" s="195">
        <v>5</v>
      </c>
      <c r="F220" s="195">
        <v>5</v>
      </c>
      <c r="G220" s="195">
        <v>5</v>
      </c>
      <c r="H220" s="195">
        <v>5</v>
      </c>
      <c r="I220" s="195">
        <v>5</v>
      </c>
      <c r="J220" s="195">
        <v>4</v>
      </c>
      <c r="K220" s="195">
        <v>4</v>
      </c>
      <c r="L220" s="195">
        <v>4</v>
      </c>
      <c r="M220" s="196">
        <v>5</v>
      </c>
    </row>
    <row r="221" spans="1:13" x14ac:dyDescent="0.25">
      <c r="A221" s="194">
        <v>220</v>
      </c>
      <c r="B221" s="195">
        <v>5</v>
      </c>
      <c r="C221" s="195">
        <v>5</v>
      </c>
      <c r="D221" s="195">
        <v>5</v>
      </c>
      <c r="E221" s="195">
        <v>5</v>
      </c>
      <c r="F221" s="195">
        <v>5</v>
      </c>
      <c r="G221" s="195">
        <v>5</v>
      </c>
      <c r="H221" s="195">
        <v>5</v>
      </c>
      <c r="I221" s="195">
        <v>5</v>
      </c>
      <c r="J221" s="195">
        <v>5</v>
      </c>
      <c r="K221" s="195">
        <v>5</v>
      </c>
      <c r="L221" s="195">
        <v>5</v>
      </c>
      <c r="M221" s="196">
        <v>5</v>
      </c>
    </row>
    <row r="222" spans="1:13" x14ac:dyDescent="0.25">
      <c r="A222" s="194">
        <v>221</v>
      </c>
      <c r="B222" s="195">
        <v>5</v>
      </c>
      <c r="C222" s="195">
        <v>5</v>
      </c>
      <c r="D222" s="195">
        <v>5</v>
      </c>
      <c r="E222" s="195">
        <v>5</v>
      </c>
      <c r="F222" s="195">
        <v>5</v>
      </c>
      <c r="G222" s="195">
        <v>5</v>
      </c>
      <c r="H222" s="195">
        <v>5</v>
      </c>
      <c r="I222" s="195">
        <v>5</v>
      </c>
      <c r="J222" s="195">
        <v>5</v>
      </c>
      <c r="K222" s="195">
        <v>4</v>
      </c>
      <c r="L222" s="195">
        <v>5</v>
      </c>
      <c r="M222" s="196">
        <v>5</v>
      </c>
    </row>
    <row r="223" spans="1:13" x14ac:dyDescent="0.25">
      <c r="A223" s="194">
        <v>222</v>
      </c>
      <c r="B223" s="195">
        <v>5</v>
      </c>
      <c r="C223" s="195">
        <v>5</v>
      </c>
      <c r="D223" s="195">
        <v>5</v>
      </c>
      <c r="E223" s="195">
        <v>5</v>
      </c>
      <c r="F223" s="195">
        <v>5</v>
      </c>
      <c r="G223" s="195">
        <v>5</v>
      </c>
      <c r="H223" s="195">
        <v>5</v>
      </c>
      <c r="I223" s="195">
        <v>5</v>
      </c>
      <c r="J223" s="195">
        <v>5</v>
      </c>
      <c r="K223" s="195">
        <v>5</v>
      </c>
      <c r="L223" s="195">
        <v>4</v>
      </c>
      <c r="M223" s="196">
        <v>5</v>
      </c>
    </row>
    <row r="224" spans="1:13" x14ac:dyDescent="0.25">
      <c r="A224" s="194">
        <v>223</v>
      </c>
      <c r="B224" s="195">
        <v>5</v>
      </c>
      <c r="C224" s="195">
        <v>5</v>
      </c>
      <c r="D224" s="195">
        <v>5</v>
      </c>
      <c r="E224" s="195">
        <v>5</v>
      </c>
      <c r="F224" s="195">
        <v>5</v>
      </c>
      <c r="G224" s="195">
        <v>5</v>
      </c>
      <c r="H224" s="195">
        <v>5</v>
      </c>
      <c r="I224" s="195">
        <v>5</v>
      </c>
      <c r="J224" s="195">
        <v>5</v>
      </c>
      <c r="K224" s="195">
        <v>5</v>
      </c>
      <c r="L224" s="195">
        <v>5</v>
      </c>
      <c r="M224" s="196">
        <v>5</v>
      </c>
    </row>
    <row r="225" spans="1:13" x14ac:dyDescent="0.25">
      <c r="A225" s="194">
        <v>224</v>
      </c>
      <c r="B225" s="195">
        <v>5</v>
      </c>
      <c r="C225" s="195">
        <v>5</v>
      </c>
      <c r="D225" s="195">
        <v>5</v>
      </c>
      <c r="E225" s="195">
        <v>4</v>
      </c>
      <c r="F225" s="195">
        <v>5</v>
      </c>
      <c r="G225" s="195">
        <v>5</v>
      </c>
      <c r="H225" s="195">
        <v>5</v>
      </c>
      <c r="I225" s="195">
        <v>5</v>
      </c>
      <c r="J225" s="195">
        <v>5</v>
      </c>
      <c r="K225" s="195">
        <v>5</v>
      </c>
      <c r="L225" s="195">
        <v>5</v>
      </c>
      <c r="M225" s="196">
        <v>5</v>
      </c>
    </row>
    <row r="226" spans="1:13" x14ac:dyDescent="0.25">
      <c r="A226" s="194">
        <v>225</v>
      </c>
      <c r="B226" s="195">
        <v>5</v>
      </c>
      <c r="C226" s="195">
        <v>5</v>
      </c>
      <c r="D226" s="195">
        <v>5</v>
      </c>
      <c r="E226" s="195">
        <v>5</v>
      </c>
      <c r="F226" s="195">
        <v>5</v>
      </c>
      <c r="G226" s="195">
        <v>5</v>
      </c>
      <c r="H226" s="195">
        <v>5</v>
      </c>
      <c r="I226" s="195">
        <v>5</v>
      </c>
      <c r="J226" s="195">
        <v>5</v>
      </c>
      <c r="K226" s="195">
        <v>5</v>
      </c>
      <c r="L226" s="195">
        <v>5</v>
      </c>
      <c r="M226" s="196">
        <v>5</v>
      </c>
    </row>
    <row r="227" spans="1:13" x14ac:dyDescent="0.25">
      <c r="A227" s="194">
        <v>226</v>
      </c>
      <c r="B227" s="195">
        <v>5</v>
      </c>
      <c r="C227" s="195">
        <v>5</v>
      </c>
      <c r="D227" s="195">
        <v>5</v>
      </c>
      <c r="E227" s="195">
        <v>5</v>
      </c>
      <c r="F227" s="195">
        <v>5</v>
      </c>
      <c r="G227" s="195">
        <v>4</v>
      </c>
      <c r="H227" s="195">
        <v>4</v>
      </c>
      <c r="I227" s="195">
        <v>5</v>
      </c>
      <c r="J227" s="195">
        <v>5</v>
      </c>
      <c r="K227" s="195">
        <v>5</v>
      </c>
      <c r="L227" s="195">
        <v>5</v>
      </c>
      <c r="M227" s="196">
        <v>5</v>
      </c>
    </row>
    <row r="228" spans="1:13" x14ac:dyDescent="0.25">
      <c r="A228" s="194">
        <v>227</v>
      </c>
      <c r="B228" s="195">
        <v>5</v>
      </c>
      <c r="C228" s="195">
        <v>5</v>
      </c>
      <c r="D228" s="195">
        <v>5</v>
      </c>
      <c r="E228" s="195">
        <v>5</v>
      </c>
      <c r="F228" s="195">
        <v>5</v>
      </c>
      <c r="G228" s="195">
        <v>5</v>
      </c>
      <c r="H228" s="195">
        <v>5</v>
      </c>
      <c r="I228" s="195">
        <v>5</v>
      </c>
      <c r="J228" s="195">
        <v>5</v>
      </c>
      <c r="K228" s="195">
        <v>5</v>
      </c>
      <c r="L228" s="195">
        <v>5</v>
      </c>
      <c r="M228" s="196">
        <v>5</v>
      </c>
    </row>
    <row r="229" spans="1:13" x14ac:dyDescent="0.25">
      <c r="A229" s="194">
        <v>228</v>
      </c>
      <c r="B229" s="195">
        <v>5</v>
      </c>
      <c r="C229" s="195">
        <v>5</v>
      </c>
      <c r="D229" s="195">
        <v>5</v>
      </c>
      <c r="E229" s="195">
        <v>5</v>
      </c>
      <c r="F229" s="195">
        <v>5</v>
      </c>
      <c r="G229" s="195">
        <v>5</v>
      </c>
      <c r="H229" s="195">
        <v>5</v>
      </c>
      <c r="I229" s="195">
        <v>5</v>
      </c>
      <c r="J229" s="195">
        <v>5</v>
      </c>
      <c r="K229" s="195">
        <v>5</v>
      </c>
      <c r="L229" s="195">
        <v>5</v>
      </c>
      <c r="M229" s="196">
        <v>5</v>
      </c>
    </row>
    <row r="230" spans="1:13" x14ac:dyDescent="0.25">
      <c r="A230" s="194">
        <v>229</v>
      </c>
      <c r="B230" s="195">
        <v>5</v>
      </c>
      <c r="C230" s="195">
        <v>5</v>
      </c>
      <c r="D230" s="195">
        <v>5</v>
      </c>
      <c r="E230" s="195">
        <v>5</v>
      </c>
      <c r="F230" s="195">
        <v>5</v>
      </c>
      <c r="G230" s="195">
        <v>5</v>
      </c>
      <c r="H230" s="195">
        <v>5</v>
      </c>
      <c r="I230" s="195">
        <v>5</v>
      </c>
      <c r="J230" s="195">
        <v>5</v>
      </c>
      <c r="K230" s="195">
        <v>3</v>
      </c>
      <c r="L230" s="195">
        <v>3</v>
      </c>
      <c r="M230" s="196">
        <v>5</v>
      </c>
    </row>
    <row r="231" spans="1:13" x14ac:dyDescent="0.25">
      <c r="A231" s="194">
        <v>230</v>
      </c>
      <c r="B231" s="195">
        <v>4</v>
      </c>
      <c r="C231" s="195">
        <v>5</v>
      </c>
      <c r="D231" s="195">
        <v>5</v>
      </c>
      <c r="E231" s="195">
        <v>4</v>
      </c>
      <c r="F231" s="195">
        <v>4</v>
      </c>
      <c r="G231" s="195">
        <v>4</v>
      </c>
      <c r="H231" s="195">
        <v>4</v>
      </c>
      <c r="I231" s="195">
        <v>5</v>
      </c>
      <c r="J231" s="195">
        <v>5</v>
      </c>
      <c r="K231" s="195">
        <v>5</v>
      </c>
      <c r="L231" s="195">
        <v>5</v>
      </c>
      <c r="M231" s="196">
        <v>5</v>
      </c>
    </row>
    <row r="232" spans="1:13" x14ac:dyDescent="0.25">
      <c r="A232" s="194">
        <v>231</v>
      </c>
      <c r="B232" s="195">
        <v>4</v>
      </c>
      <c r="C232" s="195">
        <v>5</v>
      </c>
      <c r="D232" s="195">
        <v>5</v>
      </c>
      <c r="E232" s="195">
        <v>4</v>
      </c>
      <c r="F232" s="195">
        <v>4</v>
      </c>
      <c r="G232" s="195">
        <v>4</v>
      </c>
      <c r="H232" s="195">
        <v>5</v>
      </c>
      <c r="I232" s="195">
        <v>4</v>
      </c>
      <c r="J232" s="195">
        <v>5</v>
      </c>
      <c r="K232" s="195">
        <v>5</v>
      </c>
      <c r="L232" s="195">
        <v>4</v>
      </c>
      <c r="M232" s="196">
        <v>5</v>
      </c>
    </row>
    <row r="233" spans="1:13" x14ac:dyDescent="0.25">
      <c r="A233" s="194">
        <v>232</v>
      </c>
      <c r="B233" s="195">
        <v>4</v>
      </c>
      <c r="C233" s="195">
        <v>5</v>
      </c>
      <c r="D233" s="195">
        <v>5</v>
      </c>
      <c r="E233" s="195">
        <v>4</v>
      </c>
      <c r="F233" s="195">
        <v>5</v>
      </c>
      <c r="G233" s="195">
        <v>5</v>
      </c>
      <c r="H233" s="195">
        <v>5</v>
      </c>
      <c r="I233" s="195">
        <v>5</v>
      </c>
      <c r="J233" s="195">
        <v>5</v>
      </c>
      <c r="K233" s="195">
        <v>5</v>
      </c>
      <c r="L233" s="195">
        <v>4</v>
      </c>
      <c r="M233" s="196">
        <v>5</v>
      </c>
    </row>
    <row r="234" spans="1:13" x14ac:dyDescent="0.25">
      <c r="A234" s="194">
        <v>233</v>
      </c>
      <c r="B234" s="195">
        <v>4</v>
      </c>
      <c r="C234" s="195">
        <v>5</v>
      </c>
      <c r="D234" s="195">
        <v>5</v>
      </c>
      <c r="E234" s="195">
        <v>5</v>
      </c>
      <c r="F234" s="195">
        <v>5</v>
      </c>
      <c r="G234" s="195">
        <v>5</v>
      </c>
      <c r="H234" s="195">
        <v>5</v>
      </c>
      <c r="I234" s="195">
        <v>5</v>
      </c>
      <c r="J234" s="195">
        <v>5</v>
      </c>
      <c r="K234" s="195">
        <v>5</v>
      </c>
      <c r="L234" s="195">
        <v>5</v>
      </c>
      <c r="M234" s="196">
        <v>5</v>
      </c>
    </row>
    <row r="235" spans="1:13" x14ac:dyDescent="0.25">
      <c r="A235" s="194">
        <v>234</v>
      </c>
      <c r="B235" s="195">
        <v>4</v>
      </c>
      <c r="C235" s="195">
        <v>5</v>
      </c>
      <c r="D235" s="195">
        <v>5</v>
      </c>
      <c r="E235" s="195">
        <v>4</v>
      </c>
      <c r="F235" s="195">
        <v>5</v>
      </c>
      <c r="G235" s="195">
        <v>4</v>
      </c>
      <c r="H235" s="195">
        <v>5</v>
      </c>
      <c r="I235" s="195">
        <v>3</v>
      </c>
      <c r="J235" s="195">
        <v>3</v>
      </c>
      <c r="K235" s="195">
        <v>5</v>
      </c>
      <c r="L235" s="195">
        <v>4</v>
      </c>
      <c r="M235" s="196">
        <v>5</v>
      </c>
    </row>
    <row r="236" spans="1:13" x14ac:dyDescent="0.25">
      <c r="A236" s="194">
        <v>235</v>
      </c>
      <c r="B236" s="195">
        <v>4</v>
      </c>
      <c r="C236" s="195">
        <v>5</v>
      </c>
      <c r="D236" s="195">
        <v>5</v>
      </c>
      <c r="E236" s="195">
        <v>5</v>
      </c>
      <c r="F236" s="195">
        <v>4</v>
      </c>
      <c r="G236" s="195">
        <v>4</v>
      </c>
      <c r="H236" s="195">
        <v>5</v>
      </c>
      <c r="I236" s="195">
        <v>5</v>
      </c>
      <c r="J236" s="195">
        <v>5</v>
      </c>
      <c r="K236" s="195">
        <v>5</v>
      </c>
      <c r="L236" s="195">
        <v>5</v>
      </c>
      <c r="M236" s="196">
        <v>5</v>
      </c>
    </row>
    <row r="237" spans="1:13" x14ac:dyDescent="0.25">
      <c r="A237" s="194">
        <v>236</v>
      </c>
      <c r="B237" s="195">
        <v>4</v>
      </c>
      <c r="C237" s="195">
        <v>5</v>
      </c>
      <c r="D237" s="195">
        <v>5</v>
      </c>
      <c r="E237" s="195">
        <v>5</v>
      </c>
      <c r="F237" s="195">
        <v>5</v>
      </c>
      <c r="G237" s="195">
        <v>5</v>
      </c>
      <c r="H237" s="195">
        <v>4</v>
      </c>
      <c r="I237" s="195">
        <v>3</v>
      </c>
      <c r="J237" s="195">
        <v>4</v>
      </c>
      <c r="K237" s="195">
        <v>4</v>
      </c>
      <c r="L237" s="195">
        <v>4</v>
      </c>
      <c r="M237" s="196">
        <v>5</v>
      </c>
    </row>
    <row r="238" spans="1:13" x14ac:dyDescent="0.25">
      <c r="A238" s="194">
        <v>237</v>
      </c>
      <c r="B238" s="195">
        <v>4</v>
      </c>
      <c r="C238" s="195">
        <v>5</v>
      </c>
      <c r="D238" s="195">
        <v>5</v>
      </c>
      <c r="E238" s="195">
        <v>4</v>
      </c>
      <c r="F238" s="195">
        <v>5</v>
      </c>
      <c r="G238" s="195">
        <v>5</v>
      </c>
      <c r="H238" s="195">
        <v>3</v>
      </c>
      <c r="I238" s="195">
        <v>5</v>
      </c>
      <c r="J238" s="195">
        <v>5</v>
      </c>
      <c r="K238" s="195">
        <v>4</v>
      </c>
      <c r="L238" s="195">
        <v>4</v>
      </c>
      <c r="M238" s="196">
        <v>5</v>
      </c>
    </row>
    <row r="239" spans="1:13" x14ac:dyDescent="0.25">
      <c r="A239" s="194">
        <v>238</v>
      </c>
      <c r="B239" s="195">
        <v>4</v>
      </c>
      <c r="C239" s="195">
        <v>5</v>
      </c>
      <c r="D239" s="195">
        <v>5</v>
      </c>
      <c r="E239" s="195">
        <v>5</v>
      </c>
      <c r="F239" s="195">
        <v>5</v>
      </c>
      <c r="G239" s="195">
        <v>5</v>
      </c>
      <c r="H239" s="195">
        <v>5</v>
      </c>
      <c r="I239" s="195">
        <v>5</v>
      </c>
      <c r="J239" s="195">
        <v>5</v>
      </c>
      <c r="K239" s="195">
        <v>5</v>
      </c>
      <c r="L239" s="195">
        <v>5</v>
      </c>
      <c r="M239" s="196">
        <v>5</v>
      </c>
    </row>
    <row r="240" spans="1:13" x14ac:dyDescent="0.25">
      <c r="A240" s="194">
        <v>239</v>
      </c>
      <c r="B240" s="195">
        <v>4</v>
      </c>
      <c r="C240" s="195">
        <v>5</v>
      </c>
      <c r="D240" s="195">
        <v>5</v>
      </c>
      <c r="E240" s="195">
        <v>5</v>
      </c>
      <c r="F240" s="195">
        <v>5</v>
      </c>
      <c r="G240" s="195">
        <v>5</v>
      </c>
      <c r="H240" s="195">
        <v>5</v>
      </c>
      <c r="I240" s="195">
        <v>5</v>
      </c>
      <c r="J240" s="195">
        <v>5</v>
      </c>
      <c r="K240" s="195">
        <v>5</v>
      </c>
      <c r="L240" s="195">
        <v>5</v>
      </c>
      <c r="M240" s="196">
        <v>5</v>
      </c>
    </row>
    <row r="241" spans="1:13" x14ac:dyDescent="0.25">
      <c r="A241" s="194">
        <v>240</v>
      </c>
      <c r="B241" s="195">
        <v>4</v>
      </c>
      <c r="C241" s="195">
        <v>4</v>
      </c>
      <c r="D241" s="195">
        <v>4</v>
      </c>
      <c r="E241" s="195">
        <v>5</v>
      </c>
      <c r="F241" s="195">
        <v>5</v>
      </c>
      <c r="G241" s="195">
        <v>5</v>
      </c>
      <c r="H241" s="195">
        <v>5</v>
      </c>
      <c r="I241" s="195">
        <v>4</v>
      </c>
      <c r="J241" s="195">
        <v>5</v>
      </c>
      <c r="K241" s="195">
        <v>3</v>
      </c>
      <c r="L241" s="195">
        <v>2</v>
      </c>
      <c r="M241" s="196">
        <v>5</v>
      </c>
    </row>
    <row r="242" spans="1:13" x14ac:dyDescent="0.25">
      <c r="A242" s="194">
        <v>241</v>
      </c>
      <c r="B242" s="195">
        <v>4</v>
      </c>
      <c r="C242" s="195">
        <v>5</v>
      </c>
      <c r="D242" s="195">
        <v>5</v>
      </c>
      <c r="E242" s="195">
        <v>5</v>
      </c>
      <c r="F242" s="195">
        <v>5</v>
      </c>
      <c r="G242" s="195">
        <v>5</v>
      </c>
      <c r="H242" s="195">
        <v>5</v>
      </c>
      <c r="I242" s="195">
        <v>5</v>
      </c>
      <c r="J242" s="195">
        <v>5</v>
      </c>
      <c r="K242" s="195">
        <v>5</v>
      </c>
      <c r="L242" s="195">
        <v>5</v>
      </c>
      <c r="M242" s="196">
        <v>5</v>
      </c>
    </row>
    <row r="243" spans="1:13" x14ac:dyDescent="0.25">
      <c r="A243" s="194">
        <v>242</v>
      </c>
      <c r="B243" s="195">
        <v>4</v>
      </c>
      <c r="C243" s="195">
        <v>5</v>
      </c>
      <c r="D243" s="195">
        <v>5</v>
      </c>
      <c r="E243" s="195">
        <v>5</v>
      </c>
      <c r="F243" s="195">
        <v>5</v>
      </c>
      <c r="G243" s="195">
        <v>5</v>
      </c>
      <c r="H243" s="195">
        <v>5</v>
      </c>
      <c r="I243" s="195">
        <v>5</v>
      </c>
      <c r="J243" s="195">
        <v>5</v>
      </c>
      <c r="K243" s="195">
        <v>5</v>
      </c>
      <c r="L243" s="195">
        <v>4</v>
      </c>
      <c r="M243" s="196">
        <v>5</v>
      </c>
    </row>
    <row r="244" spans="1:13" x14ac:dyDescent="0.25">
      <c r="A244" s="194">
        <v>243</v>
      </c>
      <c r="B244" s="195">
        <v>4</v>
      </c>
      <c r="C244" s="195">
        <v>5</v>
      </c>
      <c r="D244" s="195">
        <v>5</v>
      </c>
      <c r="E244" s="195">
        <v>5</v>
      </c>
      <c r="F244" s="195">
        <v>5</v>
      </c>
      <c r="G244" s="195">
        <v>5</v>
      </c>
      <c r="H244" s="195">
        <v>5</v>
      </c>
      <c r="I244" s="195">
        <v>5</v>
      </c>
      <c r="J244" s="195">
        <v>5</v>
      </c>
      <c r="K244" s="195">
        <v>5</v>
      </c>
      <c r="L244" s="195">
        <v>4</v>
      </c>
      <c r="M244" s="196">
        <v>5</v>
      </c>
    </row>
    <row r="245" spans="1:13" x14ac:dyDescent="0.25">
      <c r="A245" s="194">
        <v>244</v>
      </c>
      <c r="B245" s="195">
        <v>4</v>
      </c>
      <c r="C245" s="195">
        <v>5</v>
      </c>
      <c r="D245" s="195">
        <v>5</v>
      </c>
      <c r="E245" s="195">
        <v>5</v>
      </c>
      <c r="F245" s="195">
        <v>5</v>
      </c>
      <c r="G245" s="195">
        <v>5</v>
      </c>
      <c r="H245" s="195">
        <v>5</v>
      </c>
      <c r="I245" s="195">
        <v>2</v>
      </c>
      <c r="J245" s="195">
        <v>5</v>
      </c>
      <c r="K245" s="195">
        <v>5</v>
      </c>
      <c r="L245" s="195">
        <v>5</v>
      </c>
      <c r="M245" s="196">
        <v>5</v>
      </c>
    </row>
    <row r="246" spans="1:13" x14ac:dyDescent="0.25">
      <c r="A246" s="194">
        <v>245</v>
      </c>
      <c r="B246" s="195">
        <v>4</v>
      </c>
      <c r="C246" s="195">
        <v>4</v>
      </c>
      <c r="D246" s="195">
        <v>4</v>
      </c>
      <c r="E246" s="195">
        <v>3</v>
      </c>
      <c r="F246" s="195">
        <v>5</v>
      </c>
      <c r="G246" s="195">
        <v>5</v>
      </c>
      <c r="H246" s="195">
        <v>3</v>
      </c>
      <c r="I246" s="195">
        <v>2</v>
      </c>
      <c r="J246" s="195">
        <v>4</v>
      </c>
      <c r="K246" s="195">
        <v>4</v>
      </c>
      <c r="L246" s="195">
        <v>4</v>
      </c>
      <c r="M246" s="196">
        <v>5</v>
      </c>
    </row>
    <row r="247" spans="1:13" x14ac:dyDescent="0.25">
      <c r="A247" s="194">
        <v>246</v>
      </c>
      <c r="B247" s="195">
        <v>4</v>
      </c>
      <c r="C247" s="195">
        <v>5</v>
      </c>
      <c r="D247" s="195">
        <v>5</v>
      </c>
      <c r="E247" s="195">
        <v>3</v>
      </c>
      <c r="F247" s="195">
        <v>5</v>
      </c>
      <c r="G247" s="195">
        <v>4</v>
      </c>
      <c r="H247" s="195">
        <v>4</v>
      </c>
      <c r="I247" s="195">
        <v>5</v>
      </c>
      <c r="J247" s="195">
        <v>5</v>
      </c>
      <c r="K247" s="195">
        <v>5</v>
      </c>
      <c r="L247" s="195">
        <v>4</v>
      </c>
      <c r="M247" s="196">
        <v>5</v>
      </c>
    </row>
    <row r="248" spans="1:13" x14ac:dyDescent="0.25">
      <c r="A248" s="194">
        <v>247</v>
      </c>
      <c r="B248" s="195">
        <v>4</v>
      </c>
      <c r="C248" s="195">
        <v>5</v>
      </c>
      <c r="D248" s="195">
        <v>5</v>
      </c>
      <c r="E248" s="195">
        <v>3</v>
      </c>
      <c r="F248" s="195">
        <v>5</v>
      </c>
      <c r="G248" s="195">
        <v>5</v>
      </c>
      <c r="H248" s="195">
        <v>3</v>
      </c>
      <c r="I248" s="195">
        <v>5</v>
      </c>
      <c r="J248" s="195">
        <v>5</v>
      </c>
      <c r="K248" s="195">
        <v>5</v>
      </c>
      <c r="L248" s="195">
        <v>5</v>
      </c>
      <c r="M248" s="196">
        <v>5</v>
      </c>
    </row>
    <row r="249" spans="1:13" x14ac:dyDescent="0.25">
      <c r="A249" s="194">
        <v>248</v>
      </c>
      <c r="B249" s="195">
        <v>4</v>
      </c>
      <c r="C249" s="195">
        <v>5</v>
      </c>
      <c r="D249" s="195">
        <v>5</v>
      </c>
      <c r="E249" s="195">
        <v>5</v>
      </c>
      <c r="F249" s="195">
        <v>5</v>
      </c>
      <c r="G249" s="195">
        <v>5</v>
      </c>
      <c r="H249" s="195">
        <v>5</v>
      </c>
      <c r="I249" s="195">
        <v>5</v>
      </c>
      <c r="J249" s="195">
        <v>5</v>
      </c>
      <c r="K249" s="195">
        <v>5</v>
      </c>
      <c r="L249" s="195">
        <v>5</v>
      </c>
      <c r="M249" s="196">
        <v>5</v>
      </c>
    </row>
    <row r="250" spans="1:13" x14ac:dyDescent="0.25">
      <c r="A250" s="194">
        <v>249</v>
      </c>
      <c r="B250" s="195">
        <v>4</v>
      </c>
      <c r="C250" s="195">
        <v>5</v>
      </c>
      <c r="D250" s="195">
        <v>4</v>
      </c>
      <c r="E250" s="195">
        <v>4</v>
      </c>
      <c r="F250" s="195">
        <v>4</v>
      </c>
      <c r="G250" s="195">
        <v>5</v>
      </c>
      <c r="H250" s="195">
        <v>3</v>
      </c>
      <c r="I250" s="195">
        <v>5</v>
      </c>
      <c r="J250" s="195">
        <v>5</v>
      </c>
      <c r="K250" s="195">
        <v>5</v>
      </c>
      <c r="L250" s="195">
        <v>5</v>
      </c>
      <c r="M250" s="196">
        <v>5</v>
      </c>
    </row>
    <row r="251" spans="1:13" x14ac:dyDescent="0.25">
      <c r="A251" s="194">
        <v>250</v>
      </c>
      <c r="B251" s="195">
        <v>4</v>
      </c>
      <c r="C251" s="195">
        <v>5</v>
      </c>
      <c r="D251" s="195">
        <v>5</v>
      </c>
      <c r="E251" s="195">
        <v>5</v>
      </c>
      <c r="F251" s="195">
        <v>5</v>
      </c>
      <c r="G251" s="195">
        <v>5</v>
      </c>
      <c r="H251" s="195">
        <v>5</v>
      </c>
      <c r="I251" s="195">
        <v>5</v>
      </c>
      <c r="J251" s="195">
        <v>5</v>
      </c>
      <c r="K251" s="195">
        <v>5</v>
      </c>
      <c r="L251" s="195">
        <v>2</v>
      </c>
      <c r="M251" s="196">
        <v>5</v>
      </c>
    </row>
    <row r="252" spans="1:13" x14ac:dyDescent="0.25">
      <c r="A252" s="194">
        <v>251</v>
      </c>
      <c r="B252" s="195">
        <v>4</v>
      </c>
      <c r="C252" s="195">
        <v>5</v>
      </c>
      <c r="D252" s="195">
        <v>5</v>
      </c>
      <c r="E252" s="195">
        <v>5</v>
      </c>
      <c r="F252" s="195">
        <v>5</v>
      </c>
      <c r="G252" s="195">
        <v>5</v>
      </c>
      <c r="H252" s="195">
        <v>5</v>
      </c>
      <c r="I252" s="195">
        <v>5</v>
      </c>
      <c r="J252" s="195">
        <v>5</v>
      </c>
      <c r="K252" s="195">
        <v>5</v>
      </c>
      <c r="L252" s="195">
        <v>4</v>
      </c>
      <c r="M252" s="196">
        <v>5</v>
      </c>
    </row>
    <row r="253" spans="1:13" x14ac:dyDescent="0.25">
      <c r="A253" s="194">
        <v>252</v>
      </c>
      <c r="B253" s="195">
        <v>4</v>
      </c>
      <c r="C253" s="195">
        <v>5</v>
      </c>
      <c r="D253" s="195">
        <v>5</v>
      </c>
      <c r="E253" s="195">
        <v>5</v>
      </c>
      <c r="F253" s="195">
        <v>5</v>
      </c>
      <c r="G253" s="195">
        <v>5</v>
      </c>
      <c r="H253" s="195">
        <v>5</v>
      </c>
      <c r="I253" s="195">
        <v>5</v>
      </c>
      <c r="J253" s="195">
        <v>5</v>
      </c>
      <c r="K253" s="195">
        <v>5</v>
      </c>
      <c r="L253" s="195">
        <v>4</v>
      </c>
      <c r="M253" s="196">
        <v>5</v>
      </c>
    </row>
    <row r="254" spans="1:13" x14ac:dyDescent="0.25">
      <c r="A254" s="194">
        <v>253</v>
      </c>
      <c r="B254" s="195">
        <v>4</v>
      </c>
      <c r="C254" s="195">
        <v>5</v>
      </c>
      <c r="D254" s="195">
        <v>5</v>
      </c>
      <c r="E254" s="195">
        <v>5</v>
      </c>
      <c r="F254" s="195">
        <v>5</v>
      </c>
      <c r="G254" s="195">
        <v>5</v>
      </c>
      <c r="H254" s="195">
        <v>5</v>
      </c>
      <c r="I254" s="195">
        <v>5</v>
      </c>
      <c r="J254" s="195">
        <v>5</v>
      </c>
      <c r="K254" s="195">
        <v>5</v>
      </c>
      <c r="L254" s="195">
        <v>5</v>
      </c>
      <c r="M254" s="196">
        <v>5</v>
      </c>
    </row>
    <row r="255" spans="1:13" x14ac:dyDescent="0.25">
      <c r="A255" s="194">
        <v>254</v>
      </c>
      <c r="B255" s="195">
        <v>4</v>
      </c>
      <c r="C255" s="195">
        <v>5</v>
      </c>
      <c r="D255" s="195">
        <v>5</v>
      </c>
      <c r="E255" s="195">
        <v>3</v>
      </c>
      <c r="F255" s="195">
        <v>5</v>
      </c>
      <c r="G255" s="195">
        <v>3</v>
      </c>
      <c r="H255" s="195">
        <v>5</v>
      </c>
      <c r="I255" s="195">
        <v>5</v>
      </c>
      <c r="J255" s="195">
        <v>5</v>
      </c>
      <c r="K255" s="195">
        <v>5</v>
      </c>
      <c r="L255" s="195">
        <v>5</v>
      </c>
      <c r="M255" s="196">
        <v>5</v>
      </c>
    </row>
    <row r="256" spans="1:13" x14ac:dyDescent="0.25">
      <c r="A256" s="194">
        <v>255</v>
      </c>
      <c r="B256" s="195">
        <v>4</v>
      </c>
      <c r="C256" s="195">
        <v>5</v>
      </c>
      <c r="D256" s="195">
        <v>5</v>
      </c>
      <c r="E256" s="195">
        <v>5</v>
      </c>
      <c r="F256" s="195">
        <v>5</v>
      </c>
      <c r="G256" s="195">
        <v>4</v>
      </c>
      <c r="H256" s="195">
        <v>4</v>
      </c>
      <c r="I256" s="195">
        <v>5</v>
      </c>
      <c r="J256" s="195">
        <v>5</v>
      </c>
      <c r="K256" s="195">
        <v>5</v>
      </c>
      <c r="L256" s="195">
        <v>5</v>
      </c>
      <c r="M256" s="196">
        <v>5</v>
      </c>
    </row>
    <row r="257" spans="1:13" x14ac:dyDescent="0.25">
      <c r="A257" s="194">
        <v>256</v>
      </c>
      <c r="B257" s="195">
        <v>4</v>
      </c>
      <c r="C257" s="195">
        <v>5</v>
      </c>
      <c r="D257" s="195">
        <v>5</v>
      </c>
      <c r="E257" s="195">
        <v>4</v>
      </c>
      <c r="F257" s="195">
        <v>4</v>
      </c>
      <c r="G257" s="195">
        <v>5</v>
      </c>
      <c r="H257" s="195">
        <v>5</v>
      </c>
      <c r="I257" s="195">
        <v>5</v>
      </c>
      <c r="J257" s="195">
        <v>5</v>
      </c>
      <c r="K257" s="195">
        <v>5</v>
      </c>
      <c r="L257" s="195">
        <v>4</v>
      </c>
      <c r="M257" s="196">
        <v>5</v>
      </c>
    </row>
    <row r="258" spans="1:13" x14ac:dyDescent="0.25">
      <c r="A258" s="194">
        <v>257</v>
      </c>
      <c r="B258" s="195">
        <v>4</v>
      </c>
      <c r="C258" s="195">
        <v>5</v>
      </c>
      <c r="D258" s="195">
        <v>5</v>
      </c>
      <c r="E258" s="195">
        <v>5</v>
      </c>
      <c r="F258" s="195">
        <v>5</v>
      </c>
      <c r="G258" s="195">
        <v>5</v>
      </c>
      <c r="H258" s="195">
        <v>5</v>
      </c>
      <c r="I258" s="195">
        <v>5</v>
      </c>
      <c r="J258" s="195">
        <v>5</v>
      </c>
      <c r="K258" s="195">
        <v>5</v>
      </c>
      <c r="L258" s="195">
        <v>5</v>
      </c>
      <c r="M258" s="196">
        <v>5</v>
      </c>
    </row>
    <row r="259" spans="1:13" x14ac:dyDescent="0.25">
      <c r="A259" s="194">
        <v>258</v>
      </c>
      <c r="B259" s="195">
        <v>4</v>
      </c>
      <c r="C259" s="195">
        <v>5</v>
      </c>
      <c r="D259" s="195">
        <v>5</v>
      </c>
      <c r="E259" s="195">
        <v>5</v>
      </c>
      <c r="F259" s="195">
        <v>5</v>
      </c>
      <c r="G259" s="195">
        <v>5</v>
      </c>
      <c r="H259" s="195">
        <v>5</v>
      </c>
      <c r="I259" s="195">
        <v>5</v>
      </c>
      <c r="J259" s="195">
        <v>5</v>
      </c>
      <c r="K259" s="195">
        <v>5</v>
      </c>
      <c r="L259" s="195">
        <v>3</v>
      </c>
      <c r="M259" s="196">
        <v>5</v>
      </c>
    </row>
    <row r="260" spans="1:13" x14ac:dyDescent="0.25">
      <c r="A260" s="194">
        <v>259</v>
      </c>
      <c r="B260" s="195">
        <v>4</v>
      </c>
      <c r="C260" s="195">
        <v>5</v>
      </c>
      <c r="D260" s="195">
        <v>5</v>
      </c>
      <c r="E260" s="195">
        <v>5</v>
      </c>
      <c r="F260" s="195">
        <v>5</v>
      </c>
      <c r="G260" s="195">
        <v>5</v>
      </c>
      <c r="H260" s="195">
        <v>5</v>
      </c>
      <c r="I260" s="195">
        <v>5</v>
      </c>
      <c r="J260" s="195">
        <v>5</v>
      </c>
      <c r="K260" s="195">
        <v>4</v>
      </c>
      <c r="L260" s="195">
        <v>3</v>
      </c>
      <c r="M260" s="196">
        <v>5</v>
      </c>
    </row>
    <row r="261" spans="1:13" x14ac:dyDescent="0.25">
      <c r="A261" s="194">
        <v>260</v>
      </c>
      <c r="B261" s="195">
        <v>4</v>
      </c>
      <c r="C261" s="195">
        <v>5</v>
      </c>
      <c r="D261" s="195">
        <v>5</v>
      </c>
      <c r="E261" s="195">
        <v>5</v>
      </c>
      <c r="F261" s="195">
        <v>5</v>
      </c>
      <c r="G261" s="195">
        <v>5</v>
      </c>
      <c r="H261" s="195">
        <v>5</v>
      </c>
      <c r="I261" s="195">
        <v>5</v>
      </c>
      <c r="J261" s="195">
        <v>5</v>
      </c>
      <c r="K261" s="195">
        <v>5</v>
      </c>
      <c r="L261" s="195">
        <v>5</v>
      </c>
      <c r="M261" s="196">
        <v>5</v>
      </c>
    </row>
    <row r="262" spans="1:13" x14ac:dyDescent="0.25">
      <c r="A262" s="194">
        <v>261</v>
      </c>
      <c r="B262" s="195">
        <v>4</v>
      </c>
      <c r="C262" s="195">
        <v>5</v>
      </c>
      <c r="D262" s="195">
        <v>5</v>
      </c>
      <c r="E262" s="195">
        <v>5</v>
      </c>
      <c r="F262" s="195">
        <v>5</v>
      </c>
      <c r="G262" s="195">
        <v>5</v>
      </c>
      <c r="H262" s="195">
        <v>5</v>
      </c>
      <c r="I262" s="195">
        <v>3</v>
      </c>
      <c r="J262" s="195">
        <v>5</v>
      </c>
      <c r="K262" s="195">
        <v>5</v>
      </c>
      <c r="L262" s="195">
        <v>4</v>
      </c>
      <c r="M262" s="196">
        <v>5</v>
      </c>
    </row>
    <row r="263" spans="1:13" x14ac:dyDescent="0.25">
      <c r="A263" s="194">
        <v>262</v>
      </c>
      <c r="B263" s="195">
        <v>4</v>
      </c>
      <c r="C263" s="195">
        <v>5</v>
      </c>
      <c r="D263" s="195">
        <v>5</v>
      </c>
      <c r="E263" s="195">
        <v>4</v>
      </c>
      <c r="F263" s="195">
        <v>5</v>
      </c>
      <c r="G263" s="195">
        <v>5</v>
      </c>
      <c r="H263" s="195">
        <v>5</v>
      </c>
      <c r="I263" s="195">
        <v>4</v>
      </c>
      <c r="J263" s="195">
        <v>5</v>
      </c>
      <c r="K263" s="195">
        <v>5</v>
      </c>
      <c r="L263" s="195">
        <v>5</v>
      </c>
      <c r="M263" s="196">
        <v>5</v>
      </c>
    </row>
    <row r="264" spans="1:13" x14ac:dyDescent="0.25">
      <c r="A264" s="194">
        <v>263</v>
      </c>
      <c r="B264" s="195">
        <v>4</v>
      </c>
      <c r="C264" s="195">
        <v>5</v>
      </c>
      <c r="D264" s="195">
        <v>5</v>
      </c>
      <c r="E264" s="195">
        <v>4</v>
      </c>
      <c r="F264" s="195">
        <v>5</v>
      </c>
      <c r="G264" s="195">
        <v>5</v>
      </c>
      <c r="H264" s="195">
        <v>4</v>
      </c>
      <c r="I264" s="195">
        <v>2</v>
      </c>
      <c r="J264" s="195">
        <v>2</v>
      </c>
      <c r="K264" s="195">
        <v>5</v>
      </c>
      <c r="L264" s="195">
        <v>5</v>
      </c>
      <c r="M264" s="196">
        <v>5</v>
      </c>
    </row>
    <row r="265" spans="1:13" x14ac:dyDescent="0.25">
      <c r="A265" s="194">
        <v>264</v>
      </c>
      <c r="B265" s="195">
        <v>4</v>
      </c>
      <c r="C265" s="195">
        <v>5</v>
      </c>
      <c r="D265" s="195">
        <v>5</v>
      </c>
      <c r="E265" s="195">
        <v>5</v>
      </c>
      <c r="F265" s="195">
        <v>5</v>
      </c>
      <c r="G265" s="195">
        <v>5</v>
      </c>
      <c r="H265" s="195">
        <v>5</v>
      </c>
      <c r="I265" s="195">
        <v>5</v>
      </c>
      <c r="J265" s="195">
        <v>5</v>
      </c>
      <c r="K265" s="195">
        <v>5</v>
      </c>
      <c r="L265" s="195">
        <v>5</v>
      </c>
      <c r="M265" s="196">
        <v>5</v>
      </c>
    </row>
    <row r="266" spans="1:13" x14ac:dyDescent="0.25">
      <c r="A266" s="194">
        <v>265</v>
      </c>
      <c r="B266" s="195">
        <v>4</v>
      </c>
      <c r="C266" s="195">
        <v>5</v>
      </c>
      <c r="D266" s="195">
        <v>5</v>
      </c>
      <c r="E266" s="195">
        <v>5</v>
      </c>
      <c r="F266" s="195">
        <v>5</v>
      </c>
      <c r="G266" s="195">
        <v>5</v>
      </c>
      <c r="H266" s="195">
        <v>5</v>
      </c>
      <c r="I266" s="195">
        <v>5</v>
      </c>
      <c r="J266" s="195">
        <v>5</v>
      </c>
      <c r="K266" s="195">
        <v>4</v>
      </c>
      <c r="L266" s="195">
        <v>2</v>
      </c>
      <c r="M266" s="196">
        <v>5</v>
      </c>
    </row>
    <row r="267" spans="1:13" x14ac:dyDescent="0.25">
      <c r="A267" s="194">
        <v>266</v>
      </c>
      <c r="B267" s="195">
        <v>4</v>
      </c>
      <c r="C267" s="195">
        <v>4</v>
      </c>
      <c r="D267" s="195">
        <v>4</v>
      </c>
      <c r="E267" s="195">
        <v>4</v>
      </c>
      <c r="F267" s="195">
        <v>5</v>
      </c>
      <c r="G267" s="195">
        <v>5</v>
      </c>
      <c r="H267" s="195">
        <v>4</v>
      </c>
      <c r="I267" s="195">
        <v>4</v>
      </c>
      <c r="J267" s="195">
        <v>4</v>
      </c>
      <c r="K267" s="195">
        <v>4</v>
      </c>
      <c r="L267" s="195">
        <v>4</v>
      </c>
      <c r="M267" s="196">
        <v>5</v>
      </c>
    </row>
    <row r="268" spans="1:13" x14ac:dyDescent="0.25">
      <c r="A268" s="194">
        <v>267</v>
      </c>
      <c r="B268" s="195">
        <v>4</v>
      </c>
      <c r="C268" s="195">
        <v>5</v>
      </c>
      <c r="D268" s="195">
        <v>5</v>
      </c>
      <c r="E268" s="195">
        <v>5</v>
      </c>
      <c r="F268" s="195">
        <v>5</v>
      </c>
      <c r="G268" s="195">
        <v>5</v>
      </c>
      <c r="H268" s="195">
        <v>5</v>
      </c>
      <c r="I268" s="195">
        <v>5</v>
      </c>
      <c r="J268" s="195">
        <v>5</v>
      </c>
      <c r="K268" s="195">
        <v>4</v>
      </c>
      <c r="L268" s="195">
        <v>4</v>
      </c>
      <c r="M268" s="196">
        <v>5</v>
      </c>
    </row>
    <row r="269" spans="1:13" x14ac:dyDescent="0.25">
      <c r="A269" s="194">
        <v>268</v>
      </c>
      <c r="B269" s="195">
        <v>4</v>
      </c>
      <c r="C269" s="195">
        <v>5</v>
      </c>
      <c r="D269" s="195">
        <v>5</v>
      </c>
      <c r="E269" s="195">
        <v>3</v>
      </c>
      <c r="F269" s="195">
        <v>5</v>
      </c>
      <c r="G269" s="195">
        <v>5</v>
      </c>
      <c r="H269" s="195">
        <v>4</v>
      </c>
      <c r="I269" s="195">
        <v>5</v>
      </c>
      <c r="J269" s="195">
        <v>5</v>
      </c>
      <c r="K269" s="195">
        <v>4</v>
      </c>
      <c r="L269" s="195">
        <v>4</v>
      </c>
      <c r="M269" s="196">
        <v>5</v>
      </c>
    </row>
    <row r="270" spans="1:13" x14ac:dyDescent="0.25">
      <c r="A270" s="194">
        <v>269</v>
      </c>
      <c r="B270" s="195">
        <v>4</v>
      </c>
      <c r="C270" s="195">
        <v>5</v>
      </c>
      <c r="D270" s="195">
        <v>5</v>
      </c>
      <c r="E270" s="195">
        <v>5</v>
      </c>
      <c r="F270" s="195">
        <v>5</v>
      </c>
      <c r="G270" s="195">
        <v>5</v>
      </c>
      <c r="H270" s="195">
        <v>3</v>
      </c>
      <c r="I270" s="195">
        <v>5</v>
      </c>
      <c r="J270" s="195">
        <v>5</v>
      </c>
      <c r="K270" s="195">
        <v>5</v>
      </c>
      <c r="L270" s="195">
        <v>1</v>
      </c>
      <c r="M270" s="196">
        <v>5</v>
      </c>
    </row>
    <row r="271" spans="1:13" x14ac:dyDescent="0.25">
      <c r="A271" s="194">
        <v>270</v>
      </c>
      <c r="B271" s="195">
        <v>4</v>
      </c>
      <c r="C271" s="195">
        <v>5</v>
      </c>
      <c r="D271" s="195">
        <v>5</v>
      </c>
      <c r="E271" s="195">
        <v>2</v>
      </c>
      <c r="F271" s="195">
        <v>5</v>
      </c>
      <c r="G271" s="195">
        <v>5</v>
      </c>
      <c r="H271" s="195">
        <v>4</v>
      </c>
      <c r="I271" s="195">
        <v>3</v>
      </c>
      <c r="J271" s="195">
        <v>5</v>
      </c>
      <c r="K271" s="195">
        <v>5</v>
      </c>
      <c r="L271" s="195">
        <v>5</v>
      </c>
      <c r="M271" s="196">
        <v>5</v>
      </c>
    </row>
    <row r="272" spans="1:13" x14ac:dyDescent="0.25">
      <c r="A272" s="194">
        <v>271</v>
      </c>
      <c r="B272" s="195">
        <v>4</v>
      </c>
      <c r="C272" s="195">
        <v>5</v>
      </c>
      <c r="D272" s="195">
        <v>5</v>
      </c>
      <c r="E272" s="195">
        <v>3</v>
      </c>
      <c r="F272" s="195">
        <v>5</v>
      </c>
      <c r="G272" s="195">
        <v>5</v>
      </c>
      <c r="H272" s="195">
        <v>3</v>
      </c>
      <c r="I272" s="195">
        <v>5</v>
      </c>
      <c r="J272" s="195">
        <v>5</v>
      </c>
      <c r="K272" s="195">
        <v>5</v>
      </c>
      <c r="L272" s="195">
        <v>3</v>
      </c>
      <c r="M272" s="196">
        <v>5</v>
      </c>
    </row>
    <row r="273" spans="1:13" x14ac:dyDescent="0.25">
      <c r="A273" s="194">
        <v>272</v>
      </c>
      <c r="B273" s="195">
        <v>4</v>
      </c>
      <c r="C273" s="195">
        <v>5</v>
      </c>
      <c r="D273" s="195">
        <v>5</v>
      </c>
      <c r="E273" s="195">
        <v>5</v>
      </c>
      <c r="F273" s="195">
        <v>5</v>
      </c>
      <c r="G273" s="195">
        <v>5</v>
      </c>
      <c r="H273" s="195">
        <v>4</v>
      </c>
      <c r="I273" s="195">
        <v>5</v>
      </c>
      <c r="J273" s="195">
        <v>5</v>
      </c>
      <c r="K273" s="195">
        <v>1</v>
      </c>
      <c r="L273" s="195">
        <v>2</v>
      </c>
      <c r="M273" s="196">
        <v>5</v>
      </c>
    </row>
    <row r="274" spans="1:13" x14ac:dyDescent="0.25">
      <c r="A274" s="194">
        <v>273</v>
      </c>
      <c r="B274" s="195">
        <v>4</v>
      </c>
      <c r="C274" s="195">
        <v>5</v>
      </c>
      <c r="D274" s="195">
        <v>5</v>
      </c>
      <c r="E274" s="195">
        <v>5</v>
      </c>
      <c r="F274" s="195">
        <v>5</v>
      </c>
      <c r="G274" s="195">
        <v>5</v>
      </c>
      <c r="H274" s="195">
        <v>4</v>
      </c>
      <c r="I274" s="195">
        <v>5</v>
      </c>
      <c r="J274" s="195">
        <v>5</v>
      </c>
      <c r="K274" s="195">
        <v>5</v>
      </c>
      <c r="L274" s="195">
        <v>5</v>
      </c>
      <c r="M274" s="196">
        <v>5</v>
      </c>
    </row>
    <row r="275" spans="1:13" x14ac:dyDescent="0.25">
      <c r="A275" s="194">
        <v>274</v>
      </c>
      <c r="B275" s="195">
        <v>4</v>
      </c>
      <c r="C275" s="195">
        <v>5</v>
      </c>
      <c r="D275" s="195">
        <v>5</v>
      </c>
      <c r="E275" s="195">
        <v>5</v>
      </c>
      <c r="F275" s="195">
        <v>5</v>
      </c>
      <c r="G275" s="195">
        <v>5</v>
      </c>
      <c r="H275" s="195">
        <v>5</v>
      </c>
      <c r="I275" s="195">
        <v>5</v>
      </c>
      <c r="J275" s="195">
        <v>5</v>
      </c>
      <c r="K275" s="195">
        <v>4</v>
      </c>
      <c r="L275" s="195">
        <v>4</v>
      </c>
      <c r="M275" s="196">
        <v>5</v>
      </c>
    </row>
    <row r="276" spans="1:13" x14ac:dyDescent="0.25">
      <c r="A276" s="194">
        <v>275</v>
      </c>
      <c r="B276" s="195">
        <v>4</v>
      </c>
      <c r="C276" s="195">
        <v>5</v>
      </c>
      <c r="D276" s="195">
        <v>5</v>
      </c>
      <c r="E276" s="195">
        <v>5</v>
      </c>
      <c r="F276" s="195">
        <v>5</v>
      </c>
      <c r="G276" s="195">
        <v>5</v>
      </c>
      <c r="H276" s="195">
        <v>3</v>
      </c>
      <c r="I276" s="195">
        <v>5</v>
      </c>
      <c r="J276" s="195">
        <v>5</v>
      </c>
      <c r="K276" s="195">
        <v>5</v>
      </c>
      <c r="L276" s="195">
        <v>5</v>
      </c>
      <c r="M276" s="196">
        <v>5</v>
      </c>
    </row>
    <row r="277" spans="1:13" x14ac:dyDescent="0.25">
      <c r="A277" s="194">
        <v>276</v>
      </c>
      <c r="B277" s="195">
        <v>4</v>
      </c>
      <c r="C277" s="195">
        <v>5</v>
      </c>
      <c r="D277" s="195">
        <v>5</v>
      </c>
      <c r="E277" s="195">
        <v>3</v>
      </c>
      <c r="F277" s="195">
        <v>5</v>
      </c>
      <c r="G277" s="195">
        <v>5</v>
      </c>
      <c r="H277" s="195">
        <v>3</v>
      </c>
      <c r="I277" s="195">
        <v>5</v>
      </c>
      <c r="J277" s="195">
        <v>5</v>
      </c>
      <c r="K277" s="195">
        <v>5</v>
      </c>
      <c r="L277" s="195">
        <v>5</v>
      </c>
      <c r="M277" s="196">
        <v>5</v>
      </c>
    </row>
    <row r="278" spans="1:13" x14ac:dyDescent="0.25">
      <c r="A278" s="194">
        <v>277</v>
      </c>
      <c r="B278" s="195">
        <v>4</v>
      </c>
      <c r="C278" s="195">
        <v>5</v>
      </c>
      <c r="D278" s="195">
        <v>4</v>
      </c>
      <c r="E278" s="195">
        <v>5</v>
      </c>
      <c r="F278" s="195">
        <v>5</v>
      </c>
      <c r="G278" s="195">
        <v>3</v>
      </c>
      <c r="H278" s="195">
        <v>4</v>
      </c>
      <c r="I278" s="195">
        <v>1</v>
      </c>
      <c r="J278" s="195">
        <v>5</v>
      </c>
      <c r="K278" s="195">
        <v>5</v>
      </c>
      <c r="L278" s="195">
        <v>5</v>
      </c>
      <c r="M278" s="196">
        <v>5</v>
      </c>
    </row>
    <row r="279" spans="1:13" x14ac:dyDescent="0.25">
      <c r="A279" s="194">
        <v>278</v>
      </c>
      <c r="B279" s="195">
        <v>4</v>
      </c>
      <c r="C279" s="195">
        <v>5</v>
      </c>
      <c r="D279" s="195">
        <v>4</v>
      </c>
      <c r="E279" s="195">
        <v>5</v>
      </c>
      <c r="F279" s="195">
        <v>5</v>
      </c>
      <c r="G279" s="195">
        <v>4</v>
      </c>
      <c r="H279" s="195">
        <v>3</v>
      </c>
      <c r="I279" s="195">
        <v>4</v>
      </c>
      <c r="J279" s="195">
        <v>5</v>
      </c>
      <c r="K279" s="195">
        <v>4</v>
      </c>
      <c r="L279" s="195">
        <v>5</v>
      </c>
      <c r="M279" s="196">
        <v>5</v>
      </c>
    </row>
    <row r="280" spans="1:13" x14ac:dyDescent="0.25">
      <c r="A280" s="194">
        <v>279</v>
      </c>
      <c r="B280" s="195">
        <v>4</v>
      </c>
      <c r="C280" s="195">
        <v>5</v>
      </c>
      <c r="D280" s="195">
        <v>4</v>
      </c>
      <c r="E280" s="195">
        <v>5</v>
      </c>
      <c r="F280" s="195">
        <v>4</v>
      </c>
      <c r="G280" s="195">
        <v>4</v>
      </c>
      <c r="H280" s="195">
        <v>5</v>
      </c>
      <c r="I280" s="195">
        <v>5</v>
      </c>
      <c r="J280" s="195">
        <v>5</v>
      </c>
      <c r="K280" s="195">
        <v>5</v>
      </c>
      <c r="L280" s="195">
        <v>5</v>
      </c>
      <c r="M280" s="196">
        <v>5</v>
      </c>
    </row>
    <row r="281" spans="1:13" x14ac:dyDescent="0.25">
      <c r="A281" s="194">
        <v>280</v>
      </c>
      <c r="B281" s="195">
        <v>4</v>
      </c>
      <c r="C281" s="195">
        <v>5</v>
      </c>
      <c r="D281" s="195">
        <v>5</v>
      </c>
      <c r="E281" s="195">
        <v>5</v>
      </c>
      <c r="F281" s="195">
        <v>5</v>
      </c>
      <c r="G281" s="195">
        <v>5</v>
      </c>
      <c r="H281" s="195">
        <v>5</v>
      </c>
      <c r="I281" s="195">
        <v>5</v>
      </c>
      <c r="J281" s="195">
        <v>5</v>
      </c>
      <c r="K281" s="195">
        <v>5</v>
      </c>
      <c r="L281" s="195">
        <v>5</v>
      </c>
      <c r="M281" s="196">
        <v>5</v>
      </c>
    </row>
    <row r="282" spans="1:13" x14ac:dyDescent="0.25">
      <c r="A282" s="194">
        <v>281</v>
      </c>
      <c r="B282" s="195">
        <v>4</v>
      </c>
      <c r="C282" s="195">
        <v>5</v>
      </c>
      <c r="D282" s="195">
        <v>5</v>
      </c>
      <c r="E282" s="195">
        <v>5</v>
      </c>
      <c r="F282" s="195">
        <v>5</v>
      </c>
      <c r="G282" s="195">
        <v>5</v>
      </c>
      <c r="H282" s="195">
        <v>5</v>
      </c>
      <c r="I282" s="195">
        <v>5</v>
      </c>
      <c r="J282" s="195">
        <v>5</v>
      </c>
      <c r="K282" s="195">
        <v>5</v>
      </c>
      <c r="L282" s="195">
        <v>5</v>
      </c>
      <c r="M282" s="196">
        <v>5</v>
      </c>
    </row>
    <row r="283" spans="1:13" x14ac:dyDescent="0.25">
      <c r="A283" s="194">
        <v>282</v>
      </c>
      <c r="B283" s="195">
        <v>4</v>
      </c>
      <c r="C283" s="195">
        <v>5</v>
      </c>
      <c r="D283" s="195">
        <v>5</v>
      </c>
      <c r="E283" s="195">
        <v>5</v>
      </c>
      <c r="F283" s="195">
        <v>5</v>
      </c>
      <c r="G283" s="195">
        <v>5</v>
      </c>
      <c r="H283" s="195">
        <v>5</v>
      </c>
      <c r="I283" s="195">
        <v>5</v>
      </c>
      <c r="J283" s="195">
        <v>5</v>
      </c>
      <c r="K283" s="195">
        <v>5</v>
      </c>
      <c r="L283" s="195">
        <v>5</v>
      </c>
      <c r="M283" s="196">
        <v>5</v>
      </c>
    </row>
    <row r="284" spans="1:13" x14ac:dyDescent="0.25">
      <c r="A284" s="194">
        <v>283</v>
      </c>
      <c r="B284" s="195">
        <v>4</v>
      </c>
      <c r="C284" s="195">
        <v>5</v>
      </c>
      <c r="D284" s="195">
        <v>5</v>
      </c>
      <c r="E284" s="195">
        <v>5</v>
      </c>
      <c r="F284" s="195">
        <v>5</v>
      </c>
      <c r="G284" s="195">
        <v>5</v>
      </c>
      <c r="H284" s="195">
        <v>5</v>
      </c>
      <c r="I284" s="195">
        <v>5</v>
      </c>
      <c r="J284" s="195">
        <v>5</v>
      </c>
      <c r="K284" s="195">
        <v>5</v>
      </c>
      <c r="L284" s="195">
        <v>5</v>
      </c>
      <c r="M284" s="196">
        <v>5</v>
      </c>
    </row>
    <row r="285" spans="1:13" x14ac:dyDescent="0.25">
      <c r="A285" s="194">
        <v>284</v>
      </c>
      <c r="B285" s="195">
        <v>4</v>
      </c>
      <c r="C285" s="195">
        <v>5</v>
      </c>
      <c r="D285" s="195">
        <v>5</v>
      </c>
      <c r="E285" s="195">
        <v>5</v>
      </c>
      <c r="F285" s="195">
        <v>5</v>
      </c>
      <c r="G285" s="195">
        <v>5</v>
      </c>
      <c r="H285" s="195">
        <v>5</v>
      </c>
      <c r="I285" s="195">
        <v>5</v>
      </c>
      <c r="J285" s="195">
        <v>5</v>
      </c>
      <c r="K285" s="195">
        <v>5</v>
      </c>
      <c r="L285" s="195">
        <v>5</v>
      </c>
      <c r="M285" s="196">
        <v>5</v>
      </c>
    </row>
    <row r="286" spans="1:13" x14ac:dyDescent="0.25">
      <c r="A286" s="194">
        <v>285</v>
      </c>
      <c r="B286" s="195">
        <v>4</v>
      </c>
      <c r="C286" s="195">
        <v>5</v>
      </c>
      <c r="D286" s="195">
        <v>5</v>
      </c>
      <c r="E286" s="195">
        <v>2</v>
      </c>
      <c r="F286" s="195">
        <v>5</v>
      </c>
      <c r="G286" s="195">
        <v>4</v>
      </c>
      <c r="H286" s="195">
        <v>3</v>
      </c>
      <c r="I286" s="195">
        <v>4</v>
      </c>
      <c r="J286" s="195">
        <v>5</v>
      </c>
      <c r="K286" s="195">
        <v>4</v>
      </c>
      <c r="L286" s="195">
        <v>2</v>
      </c>
      <c r="M286" s="196">
        <v>5</v>
      </c>
    </row>
    <row r="287" spans="1:13" x14ac:dyDescent="0.25">
      <c r="A287" s="194">
        <v>286</v>
      </c>
      <c r="B287" s="195">
        <v>4</v>
      </c>
      <c r="C287" s="195">
        <v>5</v>
      </c>
      <c r="D287" s="195">
        <v>5</v>
      </c>
      <c r="E287" s="195">
        <v>4</v>
      </c>
      <c r="F287" s="195">
        <v>5</v>
      </c>
      <c r="G287" s="195">
        <v>5</v>
      </c>
      <c r="H287" s="195">
        <v>3</v>
      </c>
      <c r="I287" s="195">
        <v>4</v>
      </c>
      <c r="J287" s="195">
        <v>5</v>
      </c>
      <c r="K287" s="195">
        <v>3</v>
      </c>
      <c r="L287" s="195">
        <v>4</v>
      </c>
      <c r="M287" s="196">
        <v>5</v>
      </c>
    </row>
    <row r="288" spans="1:13" x14ac:dyDescent="0.25">
      <c r="A288" s="194">
        <v>287</v>
      </c>
      <c r="B288" s="195">
        <v>4</v>
      </c>
      <c r="C288" s="195">
        <v>5</v>
      </c>
      <c r="D288" s="195">
        <v>5</v>
      </c>
      <c r="E288" s="195">
        <v>5</v>
      </c>
      <c r="F288" s="195">
        <v>5</v>
      </c>
      <c r="G288" s="195">
        <v>5</v>
      </c>
      <c r="H288" s="195">
        <v>5</v>
      </c>
      <c r="I288" s="195">
        <v>5</v>
      </c>
      <c r="J288" s="195">
        <v>5</v>
      </c>
      <c r="K288" s="195">
        <v>5</v>
      </c>
      <c r="L288" s="195">
        <v>5</v>
      </c>
      <c r="M288" s="196">
        <v>5</v>
      </c>
    </row>
    <row r="289" spans="1:13" x14ac:dyDescent="0.25">
      <c r="A289" s="194">
        <v>288</v>
      </c>
      <c r="B289" s="195">
        <v>4</v>
      </c>
      <c r="C289" s="195">
        <v>5</v>
      </c>
      <c r="D289" s="195">
        <v>5</v>
      </c>
      <c r="E289" s="195">
        <v>3</v>
      </c>
      <c r="F289" s="195">
        <v>5</v>
      </c>
      <c r="G289" s="195">
        <v>5</v>
      </c>
      <c r="H289" s="195">
        <v>5</v>
      </c>
      <c r="I289" s="195">
        <v>5</v>
      </c>
      <c r="J289" s="195">
        <v>5</v>
      </c>
      <c r="K289" s="195">
        <v>5</v>
      </c>
      <c r="L289" s="195">
        <v>5</v>
      </c>
      <c r="M289" s="196">
        <v>5</v>
      </c>
    </row>
    <row r="290" spans="1:13" x14ac:dyDescent="0.25">
      <c r="A290" s="194">
        <v>289</v>
      </c>
      <c r="B290" s="195">
        <v>4</v>
      </c>
      <c r="C290" s="195">
        <v>3</v>
      </c>
      <c r="D290" s="195">
        <v>3</v>
      </c>
      <c r="E290" s="195">
        <v>3</v>
      </c>
      <c r="F290" s="195">
        <v>5</v>
      </c>
      <c r="G290" s="195">
        <v>4</v>
      </c>
      <c r="H290" s="195">
        <v>3</v>
      </c>
      <c r="I290" s="195">
        <v>4</v>
      </c>
      <c r="J290" s="195">
        <v>4</v>
      </c>
      <c r="K290" s="195">
        <v>5</v>
      </c>
      <c r="L290" s="195">
        <v>5</v>
      </c>
      <c r="M290" s="196">
        <v>5</v>
      </c>
    </row>
    <row r="291" spans="1:13" x14ac:dyDescent="0.25">
      <c r="A291" s="194">
        <v>290</v>
      </c>
      <c r="B291" s="195">
        <v>4</v>
      </c>
      <c r="C291" s="195">
        <v>5</v>
      </c>
      <c r="D291" s="195">
        <v>5</v>
      </c>
      <c r="E291" s="195">
        <v>4</v>
      </c>
      <c r="F291" s="195">
        <v>4</v>
      </c>
      <c r="G291" s="195">
        <v>4</v>
      </c>
      <c r="H291" s="195">
        <v>4</v>
      </c>
      <c r="I291" s="195">
        <v>5</v>
      </c>
      <c r="J291" s="195">
        <v>5</v>
      </c>
      <c r="K291" s="195">
        <v>5</v>
      </c>
      <c r="L291" s="195">
        <v>5</v>
      </c>
      <c r="M291" s="196">
        <v>5</v>
      </c>
    </row>
    <row r="292" spans="1:13" x14ac:dyDescent="0.25">
      <c r="A292" s="194">
        <v>291</v>
      </c>
      <c r="B292" s="195">
        <v>4</v>
      </c>
      <c r="C292" s="195">
        <v>5</v>
      </c>
      <c r="D292" s="195">
        <v>5</v>
      </c>
      <c r="E292" s="195">
        <v>5</v>
      </c>
      <c r="F292" s="195">
        <v>5</v>
      </c>
      <c r="G292" s="195">
        <v>5</v>
      </c>
      <c r="H292" s="195">
        <v>5</v>
      </c>
      <c r="I292" s="195">
        <v>5</v>
      </c>
      <c r="J292" s="195">
        <v>5</v>
      </c>
      <c r="K292" s="195">
        <v>5</v>
      </c>
      <c r="L292" s="195">
        <v>5</v>
      </c>
      <c r="M292" s="196">
        <v>5</v>
      </c>
    </row>
    <row r="293" spans="1:13" x14ac:dyDescent="0.25">
      <c r="A293" s="194">
        <v>292</v>
      </c>
      <c r="B293" s="195">
        <v>4</v>
      </c>
      <c r="C293" s="195">
        <v>5</v>
      </c>
      <c r="D293" s="195">
        <v>5</v>
      </c>
      <c r="E293" s="195">
        <v>5</v>
      </c>
      <c r="F293" s="195">
        <v>5</v>
      </c>
      <c r="G293" s="195">
        <v>5</v>
      </c>
      <c r="H293" s="195">
        <v>5</v>
      </c>
      <c r="I293" s="195">
        <v>5</v>
      </c>
      <c r="J293" s="195">
        <v>5</v>
      </c>
      <c r="K293" s="195">
        <v>5</v>
      </c>
      <c r="L293" s="195">
        <v>5</v>
      </c>
      <c r="M293" s="196">
        <v>5</v>
      </c>
    </row>
    <row r="294" spans="1:13" x14ac:dyDescent="0.25">
      <c r="A294" s="194">
        <v>293</v>
      </c>
      <c r="B294" s="195">
        <v>4</v>
      </c>
      <c r="C294" s="195">
        <v>5</v>
      </c>
      <c r="D294" s="195">
        <v>5</v>
      </c>
      <c r="E294" s="195">
        <v>5</v>
      </c>
      <c r="F294" s="195">
        <v>5</v>
      </c>
      <c r="G294" s="195">
        <v>5</v>
      </c>
      <c r="H294" s="195">
        <v>5</v>
      </c>
      <c r="I294" s="195">
        <v>5</v>
      </c>
      <c r="J294" s="195">
        <v>5</v>
      </c>
      <c r="K294" s="195">
        <v>5</v>
      </c>
      <c r="L294" s="195">
        <v>4</v>
      </c>
      <c r="M294" s="196">
        <v>5</v>
      </c>
    </row>
    <row r="295" spans="1:13" x14ac:dyDescent="0.25">
      <c r="A295" s="194">
        <v>294</v>
      </c>
      <c r="B295" s="195">
        <v>4</v>
      </c>
      <c r="C295" s="195">
        <v>5</v>
      </c>
      <c r="D295" s="195">
        <v>5</v>
      </c>
      <c r="E295" s="195">
        <v>5</v>
      </c>
      <c r="F295" s="195">
        <v>5</v>
      </c>
      <c r="G295" s="195">
        <v>5</v>
      </c>
      <c r="H295" s="195">
        <v>5</v>
      </c>
      <c r="I295" s="195">
        <v>5</v>
      </c>
      <c r="J295" s="195">
        <v>5</v>
      </c>
      <c r="K295" s="195">
        <v>5</v>
      </c>
      <c r="L295" s="195">
        <v>5</v>
      </c>
      <c r="M295" s="196">
        <v>5</v>
      </c>
    </row>
    <row r="296" spans="1:13" x14ac:dyDescent="0.25">
      <c r="A296" s="194">
        <v>295</v>
      </c>
      <c r="B296" s="195">
        <v>4</v>
      </c>
      <c r="C296" s="195">
        <v>5</v>
      </c>
      <c r="D296" s="195">
        <v>5</v>
      </c>
      <c r="E296" s="195">
        <v>5</v>
      </c>
      <c r="F296" s="195">
        <v>5</v>
      </c>
      <c r="G296" s="195">
        <v>5</v>
      </c>
      <c r="H296" s="195">
        <v>5</v>
      </c>
      <c r="I296" s="195">
        <v>5</v>
      </c>
      <c r="J296" s="195">
        <v>5</v>
      </c>
      <c r="K296" s="195">
        <v>5</v>
      </c>
      <c r="L296" s="195">
        <v>4</v>
      </c>
      <c r="M296" s="196">
        <v>5</v>
      </c>
    </row>
    <row r="297" spans="1:13" x14ac:dyDescent="0.25">
      <c r="A297" s="194">
        <v>296</v>
      </c>
      <c r="B297" s="195">
        <v>4</v>
      </c>
      <c r="C297" s="195">
        <v>5</v>
      </c>
      <c r="D297" s="195">
        <v>5</v>
      </c>
      <c r="E297" s="195">
        <v>5</v>
      </c>
      <c r="F297" s="195">
        <v>5</v>
      </c>
      <c r="G297" s="195">
        <v>5</v>
      </c>
      <c r="H297" s="195">
        <v>5</v>
      </c>
      <c r="I297" s="195">
        <v>5</v>
      </c>
      <c r="J297" s="195">
        <v>5</v>
      </c>
      <c r="K297" s="195">
        <v>5</v>
      </c>
      <c r="L297" s="195">
        <v>5</v>
      </c>
      <c r="M297" s="196">
        <v>5</v>
      </c>
    </row>
    <row r="298" spans="1:13" x14ac:dyDescent="0.25">
      <c r="A298" s="194">
        <v>297</v>
      </c>
      <c r="B298" s="195">
        <v>4</v>
      </c>
      <c r="C298" s="195">
        <v>5</v>
      </c>
      <c r="D298" s="195">
        <v>5</v>
      </c>
      <c r="E298" s="195">
        <v>5</v>
      </c>
      <c r="F298" s="195">
        <v>5</v>
      </c>
      <c r="G298" s="195">
        <v>5</v>
      </c>
      <c r="H298" s="195">
        <v>5</v>
      </c>
      <c r="I298" s="195">
        <v>5</v>
      </c>
      <c r="J298" s="195">
        <v>5</v>
      </c>
      <c r="K298" s="195">
        <v>5</v>
      </c>
      <c r="L298" s="195">
        <v>5</v>
      </c>
      <c r="M298" s="196">
        <v>5</v>
      </c>
    </row>
    <row r="299" spans="1:13" x14ac:dyDescent="0.25">
      <c r="A299" s="194">
        <v>298</v>
      </c>
      <c r="B299" s="195">
        <v>4</v>
      </c>
      <c r="C299" s="195">
        <v>5</v>
      </c>
      <c r="D299" s="195">
        <v>5</v>
      </c>
      <c r="E299" s="195">
        <v>5</v>
      </c>
      <c r="F299" s="195">
        <v>5</v>
      </c>
      <c r="G299" s="195">
        <v>5</v>
      </c>
      <c r="H299" s="195">
        <v>5</v>
      </c>
      <c r="I299" s="195">
        <v>5</v>
      </c>
      <c r="J299" s="195">
        <v>5</v>
      </c>
      <c r="K299" s="195">
        <v>5</v>
      </c>
      <c r="L299" s="195">
        <v>5</v>
      </c>
      <c r="M299" s="196">
        <v>5</v>
      </c>
    </row>
    <row r="300" spans="1:13" x14ac:dyDescent="0.25">
      <c r="A300" s="194">
        <v>299</v>
      </c>
      <c r="B300" s="195">
        <v>4</v>
      </c>
      <c r="C300" s="195">
        <v>5</v>
      </c>
      <c r="D300" s="195">
        <v>5</v>
      </c>
      <c r="E300" s="195">
        <v>5</v>
      </c>
      <c r="F300" s="195">
        <v>5</v>
      </c>
      <c r="G300" s="195">
        <v>5</v>
      </c>
      <c r="H300" s="195">
        <v>5</v>
      </c>
      <c r="I300" s="195">
        <v>5</v>
      </c>
      <c r="J300" s="195">
        <v>5</v>
      </c>
      <c r="K300" s="195">
        <v>5</v>
      </c>
      <c r="L300" s="195">
        <v>5</v>
      </c>
      <c r="M300" s="196">
        <v>5</v>
      </c>
    </row>
    <row r="301" spans="1:13" x14ac:dyDescent="0.25">
      <c r="A301" s="194">
        <v>300</v>
      </c>
      <c r="B301" s="195">
        <v>4</v>
      </c>
      <c r="C301" s="195">
        <v>5</v>
      </c>
      <c r="D301" s="195">
        <v>5</v>
      </c>
      <c r="E301" s="195">
        <v>4</v>
      </c>
      <c r="F301" s="195">
        <v>5</v>
      </c>
      <c r="G301" s="195">
        <v>4</v>
      </c>
      <c r="H301" s="195">
        <v>4</v>
      </c>
      <c r="I301" s="195">
        <v>3</v>
      </c>
      <c r="J301" s="195">
        <v>5</v>
      </c>
      <c r="K301" s="195">
        <v>5</v>
      </c>
      <c r="L301" s="195">
        <v>5</v>
      </c>
      <c r="M301" s="196">
        <v>5</v>
      </c>
    </row>
    <row r="302" spans="1:13" x14ac:dyDescent="0.25">
      <c r="A302" s="194">
        <v>301</v>
      </c>
      <c r="B302" s="195">
        <v>4</v>
      </c>
      <c r="C302" s="195">
        <v>5</v>
      </c>
      <c r="D302" s="195">
        <v>5</v>
      </c>
      <c r="E302" s="195">
        <v>3</v>
      </c>
      <c r="F302" s="195">
        <v>5</v>
      </c>
      <c r="G302" s="195">
        <v>4</v>
      </c>
      <c r="H302" s="195">
        <v>4</v>
      </c>
      <c r="I302" s="195">
        <v>5</v>
      </c>
      <c r="J302" s="195">
        <v>5</v>
      </c>
      <c r="K302" s="195">
        <v>5</v>
      </c>
      <c r="L302" s="195">
        <v>4</v>
      </c>
      <c r="M302" s="196">
        <v>5</v>
      </c>
    </row>
    <row r="303" spans="1:13" x14ac:dyDescent="0.25">
      <c r="A303" s="194">
        <v>302</v>
      </c>
      <c r="B303" s="195">
        <v>4</v>
      </c>
      <c r="C303" s="195">
        <v>5</v>
      </c>
      <c r="D303" s="195">
        <v>5</v>
      </c>
      <c r="E303" s="195">
        <v>5</v>
      </c>
      <c r="F303" s="195">
        <v>5</v>
      </c>
      <c r="G303" s="195">
        <v>5</v>
      </c>
      <c r="H303" s="195">
        <v>5</v>
      </c>
      <c r="I303" s="195">
        <v>5</v>
      </c>
      <c r="J303" s="195">
        <v>5</v>
      </c>
      <c r="K303" s="195">
        <v>5</v>
      </c>
      <c r="L303" s="195">
        <v>5</v>
      </c>
      <c r="M303" s="196">
        <v>5</v>
      </c>
    </row>
    <row r="304" spans="1:13" x14ac:dyDescent="0.25">
      <c r="A304" s="194">
        <v>303</v>
      </c>
      <c r="B304" s="195">
        <v>4</v>
      </c>
      <c r="C304" s="195">
        <v>5</v>
      </c>
      <c r="D304" s="195">
        <v>5</v>
      </c>
      <c r="E304" s="195">
        <v>5</v>
      </c>
      <c r="F304" s="195">
        <v>5</v>
      </c>
      <c r="G304" s="195">
        <v>5</v>
      </c>
      <c r="H304" s="195">
        <v>5</v>
      </c>
      <c r="I304" s="195">
        <v>5</v>
      </c>
      <c r="J304" s="195">
        <v>5</v>
      </c>
      <c r="K304" s="195">
        <v>5</v>
      </c>
      <c r="L304" s="195">
        <v>5</v>
      </c>
      <c r="M304" s="196">
        <v>5</v>
      </c>
    </row>
    <row r="305" spans="1:13" x14ac:dyDescent="0.25">
      <c r="A305" s="194">
        <v>304</v>
      </c>
      <c r="B305" s="195">
        <v>4</v>
      </c>
      <c r="C305" s="195">
        <v>4</v>
      </c>
      <c r="D305" s="195">
        <v>4</v>
      </c>
      <c r="E305" s="195">
        <v>4</v>
      </c>
      <c r="F305" s="195">
        <v>5</v>
      </c>
      <c r="G305" s="195">
        <v>4</v>
      </c>
      <c r="H305" s="195">
        <v>5</v>
      </c>
      <c r="I305" s="195">
        <v>4</v>
      </c>
      <c r="J305" s="195">
        <v>5</v>
      </c>
      <c r="K305" s="195">
        <v>5</v>
      </c>
      <c r="L305" s="195">
        <v>3</v>
      </c>
      <c r="M305" s="196">
        <v>5</v>
      </c>
    </row>
    <row r="306" spans="1:13" x14ac:dyDescent="0.25">
      <c r="A306" s="194">
        <v>305</v>
      </c>
      <c r="B306" s="195">
        <v>4</v>
      </c>
      <c r="C306" s="195">
        <v>5</v>
      </c>
      <c r="D306" s="195">
        <v>5</v>
      </c>
      <c r="E306" s="195">
        <v>5</v>
      </c>
      <c r="F306" s="195">
        <v>5</v>
      </c>
      <c r="G306" s="195">
        <v>5</v>
      </c>
      <c r="H306" s="195">
        <v>5</v>
      </c>
      <c r="I306" s="195">
        <v>5</v>
      </c>
      <c r="J306" s="195">
        <v>5</v>
      </c>
      <c r="K306" s="195">
        <v>5</v>
      </c>
      <c r="L306" s="195">
        <v>5</v>
      </c>
      <c r="M306" s="196">
        <v>5</v>
      </c>
    </row>
    <row r="307" spans="1:13" x14ac:dyDescent="0.25">
      <c r="A307" s="194">
        <v>306</v>
      </c>
      <c r="B307" s="195">
        <v>4</v>
      </c>
      <c r="C307" s="195">
        <v>5</v>
      </c>
      <c r="D307" s="195">
        <v>5</v>
      </c>
      <c r="E307" s="195">
        <v>3</v>
      </c>
      <c r="F307" s="195">
        <v>5</v>
      </c>
      <c r="G307" s="195">
        <v>5</v>
      </c>
      <c r="H307" s="195">
        <v>5</v>
      </c>
      <c r="I307" s="195">
        <v>5</v>
      </c>
      <c r="J307" s="195">
        <v>5</v>
      </c>
      <c r="K307" s="195">
        <v>5</v>
      </c>
      <c r="L307" s="195">
        <v>5</v>
      </c>
      <c r="M307" s="196">
        <v>5</v>
      </c>
    </row>
    <row r="308" spans="1:13" x14ac:dyDescent="0.25">
      <c r="A308" s="194">
        <v>307</v>
      </c>
      <c r="B308" s="195">
        <v>4</v>
      </c>
      <c r="C308" s="195">
        <v>5</v>
      </c>
      <c r="D308" s="195">
        <v>5</v>
      </c>
      <c r="E308" s="195">
        <v>4</v>
      </c>
      <c r="F308" s="195">
        <v>5</v>
      </c>
      <c r="G308" s="195">
        <v>5</v>
      </c>
      <c r="H308" s="195">
        <v>5</v>
      </c>
      <c r="I308" s="195">
        <v>5</v>
      </c>
      <c r="J308" s="195">
        <v>5</v>
      </c>
      <c r="K308" s="195">
        <v>5</v>
      </c>
      <c r="L308" s="195">
        <v>5</v>
      </c>
      <c r="M308" s="196">
        <v>5</v>
      </c>
    </row>
    <row r="309" spans="1:13" x14ac:dyDescent="0.25">
      <c r="A309" s="194">
        <v>308</v>
      </c>
      <c r="B309" s="195">
        <v>4</v>
      </c>
      <c r="C309" s="195">
        <v>5</v>
      </c>
      <c r="D309" s="195">
        <v>5</v>
      </c>
      <c r="E309" s="195">
        <v>4</v>
      </c>
      <c r="F309" s="195">
        <v>5</v>
      </c>
      <c r="G309" s="195">
        <v>5</v>
      </c>
      <c r="H309" s="195">
        <v>5</v>
      </c>
      <c r="I309" s="195">
        <v>4</v>
      </c>
      <c r="J309" s="195">
        <v>5</v>
      </c>
      <c r="K309" s="195">
        <v>5</v>
      </c>
      <c r="L309" s="195">
        <v>5</v>
      </c>
      <c r="M309" s="196">
        <v>5</v>
      </c>
    </row>
    <row r="310" spans="1:13" x14ac:dyDescent="0.25">
      <c r="A310" s="194">
        <v>309</v>
      </c>
      <c r="B310" s="195">
        <v>4</v>
      </c>
      <c r="C310" s="195">
        <v>5</v>
      </c>
      <c r="D310" s="195">
        <v>5</v>
      </c>
      <c r="E310" s="195">
        <v>4</v>
      </c>
      <c r="F310" s="195">
        <v>5</v>
      </c>
      <c r="G310" s="195">
        <v>5</v>
      </c>
      <c r="H310" s="195">
        <v>4</v>
      </c>
      <c r="I310" s="195">
        <v>5</v>
      </c>
      <c r="J310" s="195">
        <v>5</v>
      </c>
      <c r="K310" s="195">
        <v>5</v>
      </c>
      <c r="L310" s="195">
        <v>5</v>
      </c>
      <c r="M310" s="196">
        <v>5</v>
      </c>
    </row>
    <row r="311" spans="1:13" x14ac:dyDescent="0.25">
      <c r="A311" s="194">
        <v>310</v>
      </c>
      <c r="B311" s="195">
        <v>4</v>
      </c>
      <c r="C311" s="195">
        <v>5</v>
      </c>
      <c r="D311" s="195">
        <v>5</v>
      </c>
      <c r="E311" s="195">
        <v>5</v>
      </c>
      <c r="F311" s="195">
        <v>5</v>
      </c>
      <c r="G311" s="195">
        <v>5</v>
      </c>
      <c r="H311" s="195">
        <v>5</v>
      </c>
      <c r="I311" s="195">
        <v>5</v>
      </c>
      <c r="J311" s="195">
        <v>5</v>
      </c>
      <c r="K311" s="195">
        <v>5</v>
      </c>
      <c r="L311" s="195">
        <v>5</v>
      </c>
      <c r="M311" s="196">
        <v>5</v>
      </c>
    </row>
    <row r="312" spans="1:13" x14ac:dyDescent="0.25">
      <c r="A312" s="194">
        <v>311</v>
      </c>
      <c r="B312" s="195">
        <v>4</v>
      </c>
      <c r="C312" s="195">
        <v>5</v>
      </c>
      <c r="D312" s="195">
        <v>5</v>
      </c>
      <c r="E312" s="195">
        <v>3</v>
      </c>
      <c r="F312" s="195">
        <v>5</v>
      </c>
      <c r="G312" s="195">
        <v>4</v>
      </c>
      <c r="H312" s="195">
        <v>4</v>
      </c>
      <c r="I312" s="195">
        <v>5</v>
      </c>
      <c r="J312" s="195">
        <v>5</v>
      </c>
      <c r="K312" s="195">
        <v>5</v>
      </c>
      <c r="L312" s="195">
        <v>5</v>
      </c>
      <c r="M312" s="196">
        <v>5</v>
      </c>
    </row>
    <row r="313" spans="1:13" x14ac:dyDescent="0.25">
      <c r="A313" s="194">
        <v>312</v>
      </c>
      <c r="B313" s="195">
        <v>4</v>
      </c>
      <c r="C313" s="195">
        <v>5</v>
      </c>
      <c r="D313" s="195">
        <v>5</v>
      </c>
      <c r="E313" s="195">
        <v>5</v>
      </c>
      <c r="F313" s="195">
        <v>5</v>
      </c>
      <c r="G313" s="195">
        <v>5</v>
      </c>
      <c r="H313" s="195">
        <v>5</v>
      </c>
      <c r="I313" s="195">
        <v>4</v>
      </c>
      <c r="J313" s="195">
        <v>5</v>
      </c>
      <c r="K313" s="195">
        <v>5</v>
      </c>
      <c r="L313" s="195">
        <v>4</v>
      </c>
      <c r="M313" s="196">
        <v>5</v>
      </c>
    </row>
    <row r="314" spans="1:13" x14ac:dyDescent="0.25">
      <c r="A314" s="194">
        <v>313</v>
      </c>
      <c r="B314" s="195">
        <v>4</v>
      </c>
      <c r="C314" s="195">
        <v>5</v>
      </c>
      <c r="D314" s="195">
        <v>5</v>
      </c>
      <c r="E314" s="195">
        <v>5</v>
      </c>
      <c r="F314" s="195">
        <v>5</v>
      </c>
      <c r="G314" s="195">
        <v>5</v>
      </c>
      <c r="H314" s="195">
        <v>5</v>
      </c>
      <c r="I314" s="195">
        <v>5</v>
      </c>
      <c r="J314" s="195">
        <v>5</v>
      </c>
      <c r="K314" s="195">
        <v>5</v>
      </c>
      <c r="L314" s="195">
        <v>4</v>
      </c>
      <c r="M314" s="196">
        <v>5</v>
      </c>
    </row>
    <row r="315" spans="1:13" x14ac:dyDescent="0.25">
      <c r="A315" s="194">
        <v>314</v>
      </c>
      <c r="B315" s="195">
        <v>4</v>
      </c>
      <c r="C315" s="195">
        <v>5</v>
      </c>
      <c r="D315" s="195">
        <v>5</v>
      </c>
      <c r="E315" s="195">
        <v>3</v>
      </c>
      <c r="F315" s="195">
        <v>5</v>
      </c>
      <c r="G315" s="195">
        <v>5</v>
      </c>
      <c r="H315" s="195">
        <v>4</v>
      </c>
      <c r="I315" s="195">
        <v>5</v>
      </c>
      <c r="J315" s="195">
        <v>5</v>
      </c>
      <c r="K315" s="195">
        <v>5</v>
      </c>
      <c r="L315" s="195">
        <v>5</v>
      </c>
      <c r="M315" s="196">
        <v>5</v>
      </c>
    </row>
    <row r="316" spans="1:13" x14ac:dyDescent="0.25">
      <c r="A316" s="194">
        <v>315</v>
      </c>
      <c r="B316" s="195">
        <v>4</v>
      </c>
      <c r="C316" s="195">
        <v>5</v>
      </c>
      <c r="D316" s="195">
        <v>5</v>
      </c>
      <c r="E316" s="195">
        <v>3</v>
      </c>
      <c r="F316" s="195">
        <v>5</v>
      </c>
      <c r="G316" s="195">
        <v>5</v>
      </c>
      <c r="H316" s="195">
        <v>5</v>
      </c>
      <c r="I316" s="195">
        <v>5</v>
      </c>
      <c r="J316" s="195">
        <v>5</v>
      </c>
      <c r="K316" s="195">
        <v>5</v>
      </c>
      <c r="L316" s="195">
        <v>5</v>
      </c>
      <c r="M316" s="196">
        <v>5</v>
      </c>
    </row>
    <row r="317" spans="1:13" x14ac:dyDescent="0.25">
      <c r="A317" s="194">
        <v>316</v>
      </c>
      <c r="B317" s="195">
        <v>4</v>
      </c>
      <c r="C317" s="195">
        <v>5</v>
      </c>
      <c r="D317" s="195">
        <v>5</v>
      </c>
      <c r="E317" s="195">
        <v>3</v>
      </c>
      <c r="F317" s="195">
        <v>5</v>
      </c>
      <c r="G317" s="195">
        <v>4</v>
      </c>
      <c r="H317" s="195">
        <v>4</v>
      </c>
      <c r="I317" s="195">
        <v>5</v>
      </c>
      <c r="J317" s="195">
        <v>5</v>
      </c>
      <c r="K317" s="195">
        <v>5</v>
      </c>
      <c r="L317" s="195">
        <v>5</v>
      </c>
      <c r="M317" s="196">
        <v>5</v>
      </c>
    </row>
    <row r="318" spans="1:13" x14ac:dyDescent="0.25">
      <c r="A318" s="194">
        <v>317</v>
      </c>
      <c r="B318" s="195">
        <v>4</v>
      </c>
      <c r="C318" s="195">
        <v>5</v>
      </c>
      <c r="D318" s="195">
        <v>5</v>
      </c>
      <c r="E318" s="195">
        <v>5</v>
      </c>
      <c r="F318" s="195">
        <v>5</v>
      </c>
      <c r="G318" s="195">
        <v>5</v>
      </c>
      <c r="H318" s="195">
        <v>5</v>
      </c>
      <c r="I318" s="195">
        <v>5</v>
      </c>
      <c r="J318" s="195">
        <v>5</v>
      </c>
      <c r="K318" s="195">
        <v>5</v>
      </c>
      <c r="L318" s="195">
        <v>4</v>
      </c>
      <c r="M318" s="196">
        <v>5</v>
      </c>
    </row>
    <row r="319" spans="1:13" x14ac:dyDescent="0.25">
      <c r="A319" s="194">
        <v>318</v>
      </c>
      <c r="B319" s="195">
        <v>4</v>
      </c>
      <c r="C319" s="195">
        <v>5</v>
      </c>
      <c r="D319" s="195">
        <v>5</v>
      </c>
      <c r="E319" s="195">
        <v>5</v>
      </c>
      <c r="F319" s="195">
        <v>5</v>
      </c>
      <c r="G319" s="195">
        <v>5</v>
      </c>
      <c r="H319" s="195">
        <v>5</v>
      </c>
      <c r="I319" s="195">
        <v>5</v>
      </c>
      <c r="J319" s="195">
        <v>5</v>
      </c>
      <c r="K319" s="195">
        <v>5</v>
      </c>
      <c r="L319" s="195">
        <v>5</v>
      </c>
      <c r="M319" s="196">
        <v>5</v>
      </c>
    </row>
    <row r="320" spans="1:13" x14ac:dyDescent="0.25">
      <c r="A320" s="194">
        <v>319</v>
      </c>
      <c r="B320" s="195">
        <v>4</v>
      </c>
      <c r="C320" s="195">
        <v>5</v>
      </c>
      <c r="D320" s="195">
        <v>5</v>
      </c>
      <c r="E320" s="195">
        <v>3</v>
      </c>
      <c r="F320" s="195">
        <v>5</v>
      </c>
      <c r="G320" s="195">
        <v>5</v>
      </c>
      <c r="H320" s="195">
        <v>5</v>
      </c>
      <c r="I320" s="195">
        <v>4</v>
      </c>
      <c r="J320" s="195">
        <v>5</v>
      </c>
      <c r="K320" s="195">
        <v>5</v>
      </c>
      <c r="L320" s="195">
        <v>5</v>
      </c>
      <c r="M320" s="196">
        <v>5</v>
      </c>
    </row>
    <row r="321" spans="1:13" x14ac:dyDescent="0.25">
      <c r="A321" s="194">
        <v>320</v>
      </c>
      <c r="B321" s="195">
        <v>4</v>
      </c>
      <c r="C321" s="195">
        <v>5</v>
      </c>
      <c r="D321" s="195">
        <v>5</v>
      </c>
      <c r="E321" s="195">
        <v>4</v>
      </c>
      <c r="F321" s="195">
        <v>5</v>
      </c>
      <c r="G321" s="195">
        <v>4</v>
      </c>
      <c r="H321" s="195">
        <v>3</v>
      </c>
      <c r="I321" s="195">
        <v>5</v>
      </c>
      <c r="J321" s="195">
        <v>5</v>
      </c>
      <c r="K321" s="195">
        <v>5</v>
      </c>
      <c r="L321" s="195">
        <v>5</v>
      </c>
      <c r="M321" s="196">
        <v>5</v>
      </c>
    </row>
    <row r="322" spans="1:13" x14ac:dyDescent="0.25">
      <c r="A322" s="194">
        <v>321</v>
      </c>
      <c r="B322" s="195">
        <v>4</v>
      </c>
      <c r="C322" s="195">
        <v>5</v>
      </c>
      <c r="D322" s="195">
        <v>5</v>
      </c>
      <c r="E322" s="195">
        <v>5</v>
      </c>
      <c r="F322" s="195">
        <v>5</v>
      </c>
      <c r="G322" s="195">
        <v>3</v>
      </c>
      <c r="H322" s="195">
        <v>4</v>
      </c>
      <c r="I322" s="195">
        <v>5</v>
      </c>
      <c r="J322" s="195">
        <v>5</v>
      </c>
      <c r="K322" s="195">
        <v>5</v>
      </c>
      <c r="L322" s="195">
        <v>5</v>
      </c>
      <c r="M322" s="196">
        <v>5</v>
      </c>
    </row>
    <row r="323" spans="1:13" x14ac:dyDescent="0.25">
      <c r="A323" s="194">
        <v>322</v>
      </c>
      <c r="B323" s="195">
        <v>4</v>
      </c>
      <c r="C323" s="195">
        <v>5</v>
      </c>
      <c r="D323" s="195">
        <v>5</v>
      </c>
      <c r="E323" s="195">
        <v>5</v>
      </c>
      <c r="F323" s="195">
        <v>5</v>
      </c>
      <c r="G323" s="195">
        <v>5</v>
      </c>
      <c r="H323" s="195">
        <v>5</v>
      </c>
      <c r="I323" s="195">
        <v>5</v>
      </c>
      <c r="J323" s="195">
        <v>5</v>
      </c>
      <c r="K323" s="195">
        <v>5</v>
      </c>
      <c r="L323" s="195">
        <v>5</v>
      </c>
      <c r="M323" s="196">
        <v>5</v>
      </c>
    </row>
    <row r="324" spans="1:13" x14ac:dyDescent="0.25">
      <c r="A324" s="194">
        <v>323</v>
      </c>
      <c r="B324" s="195">
        <v>4</v>
      </c>
      <c r="C324" s="195">
        <v>5</v>
      </c>
      <c r="D324" s="195">
        <v>5</v>
      </c>
      <c r="E324" s="195">
        <v>5</v>
      </c>
      <c r="F324" s="195">
        <v>5</v>
      </c>
      <c r="G324" s="195">
        <v>5</v>
      </c>
      <c r="H324" s="195">
        <v>5</v>
      </c>
      <c r="I324" s="195">
        <v>5</v>
      </c>
      <c r="J324" s="195">
        <v>5</v>
      </c>
      <c r="K324" s="195">
        <v>5</v>
      </c>
      <c r="L324" s="195">
        <v>5</v>
      </c>
      <c r="M324" s="196">
        <v>5</v>
      </c>
    </row>
    <row r="325" spans="1:13" x14ac:dyDescent="0.25">
      <c r="A325" s="194">
        <v>324</v>
      </c>
      <c r="B325" s="195">
        <v>4</v>
      </c>
      <c r="C325" s="195">
        <v>3</v>
      </c>
      <c r="D325" s="195">
        <v>4</v>
      </c>
      <c r="E325" s="195">
        <v>5</v>
      </c>
      <c r="F325" s="195">
        <v>3</v>
      </c>
      <c r="G325" s="195">
        <v>4</v>
      </c>
      <c r="H325" s="195">
        <v>5</v>
      </c>
      <c r="I325" s="195">
        <v>3</v>
      </c>
      <c r="J325" s="195">
        <v>3</v>
      </c>
      <c r="K325" s="195">
        <v>5</v>
      </c>
      <c r="L325" s="195">
        <v>4</v>
      </c>
      <c r="M325" s="196">
        <v>5</v>
      </c>
    </row>
    <row r="326" spans="1:13" x14ac:dyDescent="0.25">
      <c r="A326" s="194">
        <v>325</v>
      </c>
      <c r="B326" s="195">
        <v>4</v>
      </c>
      <c r="C326" s="195">
        <v>5</v>
      </c>
      <c r="D326" s="195">
        <v>4</v>
      </c>
      <c r="E326" s="195">
        <v>5</v>
      </c>
      <c r="F326" s="195">
        <v>4</v>
      </c>
      <c r="G326" s="195">
        <v>5</v>
      </c>
      <c r="H326" s="195">
        <v>5</v>
      </c>
      <c r="I326" s="195">
        <v>5</v>
      </c>
      <c r="J326" s="195">
        <v>5</v>
      </c>
      <c r="K326" s="195">
        <v>5</v>
      </c>
      <c r="L326" s="195">
        <v>4</v>
      </c>
      <c r="M326" s="196">
        <v>5</v>
      </c>
    </row>
    <row r="327" spans="1:13" x14ac:dyDescent="0.25">
      <c r="A327" s="194">
        <v>326</v>
      </c>
      <c r="B327" s="195">
        <v>4</v>
      </c>
      <c r="C327" s="195">
        <v>5</v>
      </c>
      <c r="D327" s="195">
        <v>5</v>
      </c>
      <c r="E327" s="195">
        <v>5</v>
      </c>
      <c r="F327" s="195">
        <v>5</v>
      </c>
      <c r="G327" s="195">
        <v>5</v>
      </c>
      <c r="H327" s="195">
        <v>5</v>
      </c>
      <c r="I327" s="195">
        <v>5</v>
      </c>
      <c r="J327" s="195">
        <v>5</v>
      </c>
      <c r="K327" s="195">
        <v>5</v>
      </c>
      <c r="L327" s="195">
        <v>5</v>
      </c>
      <c r="M327" s="196">
        <v>5</v>
      </c>
    </row>
    <row r="328" spans="1:13" x14ac:dyDescent="0.25">
      <c r="A328" s="194">
        <v>327</v>
      </c>
      <c r="B328" s="195">
        <v>4</v>
      </c>
      <c r="C328" s="195">
        <v>5</v>
      </c>
      <c r="D328" s="195">
        <v>5</v>
      </c>
      <c r="E328" s="195">
        <v>4</v>
      </c>
      <c r="F328" s="195">
        <v>5</v>
      </c>
      <c r="G328" s="195">
        <v>5</v>
      </c>
      <c r="H328" s="195">
        <v>4</v>
      </c>
      <c r="I328" s="195">
        <v>5</v>
      </c>
      <c r="J328" s="195">
        <v>5</v>
      </c>
      <c r="K328" s="195">
        <v>5</v>
      </c>
      <c r="L328" s="195">
        <v>5</v>
      </c>
      <c r="M328" s="196">
        <v>5</v>
      </c>
    </row>
    <row r="329" spans="1:13" x14ac:dyDescent="0.25">
      <c r="A329" s="194">
        <v>328</v>
      </c>
      <c r="B329" s="195">
        <v>4</v>
      </c>
      <c r="C329" s="195">
        <v>5</v>
      </c>
      <c r="D329" s="195">
        <v>5</v>
      </c>
      <c r="E329" s="195">
        <v>4</v>
      </c>
      <c r="F329" s="195">
        <v>5</v>
      </c>
      <c r="G329" s="195">
        <v>5</v>
      </c>
      <c r="H329" s="195">
        <v>4</v>
      </c>
      <c r="I329" s="195">
        <v>5</v>
      </c>
      <c r="J329" s="195">
        <v>5</v>
      </c>
      <c r="K329" s="195">
        <v>5</v>
      </c>
      <c r="L329" s="195">
        <v>5</v>
      </c>
      <c r="M329" s="196">
        <v>5</v>
      </c>
    </row>
    <row r="330" spans="1:13" x14ac:dyDescent="0.25">
      <c r="A330" s="194">
        <v>329</v>
      </c>
      <c r="B330" s="195">
        <v>3</v>
      </c>
      <c r="C330" s="195">
        <v>5</v>
      </c>
      <c r="D330" s="195">
        <v>5</v>
      </c>
      <c r="E330" s="195">
        <v>5</v>
      </c>
      <c r="F330" s="195">
        <v>4</v>
      </c>
      <c r="G330" s="195">
        <v>4</v>
      </c>
      <c r="H330" s="195">
        <v>5</v>
      </c>
      <c r="I330" s="195">
        <v>3</v>
      </c>
      <c r="J330" s="195">
        <v>5</v>
      </c>
      <c r="K330" s="195">
        <v>5</v>
      </c>
      <c r="L330" s="195">
        <v>4</v>
      </c>
      <c r="M330" s="196">
        <v>5</v>
      </c>
    </row>
    <row r="331" spans="1:13" x14ac:dyDescent="0.25">
      <c r="A331" s="194">
        <v>330</v>
      </c>
      <c r="B331" s="195">
        <v>3</v>
      </c>
      <c r="C331" s="195">
        <v>5</v>
      </c>
      <c r="D331" s="195">
        <v>5</v>
      </c>
      <c r="E331" s="195">
        <v>5</v>
      </c>
      <c r="F331" s="195">
        <v>5</v>
      </c>
      <c r="G331" s="195">
        <v>5</v>
      </c>
      <c r="H331" s="195">
        <v>5</v>
      </c>
      <c r="I331" s="195">
        <v>1</v>
      </c>
      <c r="J331" s="195">
        <v>5</v>
      </c>
      <c r="K331" s="195">
        <v>5</v>
      </c>
      <c r="L331" s="195">
        <v>2</v>
      </c>
      <c r="M331" s="196">
        <v>5</v>
      </c>
    </row>
    <row r="332" spans="1:13" x14ac:dyDescent="0.25">
      <c r="A332" s="194">
        <v>331</v>
      </c>
      <c r="B332" s="195">
        <v>3</v>
      </c>
      <c r="C332" s="195">
        <v>5</v>
      </c>
      <c r="D332" s="195">
        <v>5</v>
      </c>
      <c r="E332" s="195">
        <v>4</v>
      </c>
      <c r="F332" s="195">
        <v>5</v>
      </c>
      <c r="G332" s="195">
        <v>5</v>
      </c>
      <c r="H332" s="195">
        <v>4</v>
      </c>
      <c r="I332" s="195">
        <v>4</v>
      </c>
      <c r="J332" s="195">
        <v>5</v>
      </c>
      <c r="K332" s="195">
        <v>5</v>
      </c>
      <c r="L332" s="195">
        <v>5</v>
      </c>
      <c r="M332" s="196">
        <v>5</v>
      </c>
    </row>
    <row r="333" spans="1:13" x14ac:dyDescent="0.25">
      <c r="A333" s="194">
        <v>332</v>
      </c>
      <c r="B333" s="195">
        <v>3</v>
      </c>
      <c r="C333" s="195">
        <v>5</v>
      </c>
      <c r="D333" s="195">
        <v>5</v>
      </c>
      <c r="E333" s="195">
        <v>2</v>
      </c>
      <c r="F333" s="195">
        <v>5</v>
      </c>
      <c r="G333" s="195">
        <v>3</v>
      </c>
      <c r="H333" s="195">
        <v>4</v>
      </c>
      <c r="I333" s="195">
        <v>5</v>
      </c>
      <c r="J333" s="195">
        <v>5</v>
      </c>
      <c r="K333" s="195">
        <v>5</v>
      </c>
      <c r="L333" s="195">
        <v>4</v>
      </c>
      <c r="M333" s="196">
        <v>5</v>
      </c>
    </row>
    <row r="334" spans="1:13" x14ac:dyDescent="0.25">
      <c r="A334" s="194">
        <v>333</v>
      </c>
      <c r="B334" s="195">
        <v>3</v>
      </c>
      <c r="C334" s="195">
        <v>5</v>
      </c>
      <c r="D334" s="195">
        <v>5</v>
      </c>
      <c r="E334" s="195">
        <v>2</v>
      </c>
      <c r="F334" s="195">
        <v>5</v>
      </c>
      <c r="G334" s="195">
        <v>5</v>
      </c>
      <c r="H334" s="195">
        <v>3</v>
      </c>
      <c r="I334" s="195">
        <v>5</v>
      </c>
      <c r="J334" s="195">
        <v>5</v>
      </c>
      <c r="K334" s="195">
        <v>5</v>
      </c>
      <c r="L334" s="195">
        <v>5</v>
      </c>
      <c r="M334" s="196">
        <v>5</v>
      </c>
    </row>
    <row r="335" spans="1:13" x14ac:dyDescent="0.25">
      <c r="A335" s="194">
        <v>334</v>
      </c>
      <c r="B335" s="195">
        <v>3</v>
      </c>
      <c r="C335" s="195">
        <v>5</v>
      </c>
      <c r="D335" s="195">
        <v>5</v>
      </c>
      <c r="E335" s="195">
        <v>5</v>
      </c>
      <c r="F335" s="195">
        <v>5</v>
      </c>
      <c r="G335" s="195">
        <v>5</v>
      </c>
      <c r="H335" s="195">
        <v>5</v>
      </c>
      <c r="I335" s="195">
        <v>5</v>
      </c>
      <c r="J335" s="195">
        <v>5</v>
      </c>
      <c r="K335" s="195">
        <v>5</v>
      </c>
      <c r="L335" s="195">
        <v>5</v>
      </c>
      <c r="M335" s="196">
        <v>5</v>
      </c>
    </row>
    <row r="336" spans="1:13" x14ac:dyDescent="0.25">
      <c r="A336" s="194">
        <v>335</v>
      </c>
      <c r="B336" s="195">
        <v>3</v>
      </c>
      <c r="C336" s="195">
        <v>5</v>
      </c>
      <c r="D336" s="195">
        <v>5</v>
      </c>
      <c r="E336" s="195">
        <v>5</v>
      </c>
      <c r="F336" s="195">
        <v>5</v>
      </c>
      <c r="G336" s="195">
        <v>5</v>
      </c>
      <c r="H336" s="195">
        <v>5</v>
      </c>
      <c r="I336" s="195">
        <v>5</v>
      </c>
      <c r="J336" s="195">
        <v>5</v>
      </c>
      <c r="K336" s="195">
        <v>5</v>
      </c>
      <c r="L336" s="195">
        <v>5</v>
      </c>
      <c r="M336" s="196">
        <v>5</v>
      </c>
    </row>
    <row r="337" spans="1:13" x14ac:dyDescent="0.25">
      <c r="A337" s="194">
        <v>336</v>
      </c>
      <c r="B337" s="195">
        <v>3</v>
      </c>
      <c r="C337" s="195">
        <v>5</v>
      </c>
      <c r="D337" s="195">
        <v>5</v>
      </c>
      <c r="E337" s="195">
        <v>5</v>
      </c>
      <c r="F337" s="195">
        <v>5</v>
      </c>
      <c r="G337" s="195">
        <v>5</v>
      </c>
      <c r="H337" s="195">
        <v>5</v>
      </c>
      <c r="I337" s="195">
        <v>5</v>
      </c>
      <c r="J337" s="195">
        <v>5</v>
      </c>
      <c r="K337" s="195">
        <v>5</v>
      </c>
      <c r="L337" s="195">
        <v>5</v>
      </c>
      <c r="M337" s="196">
        <v>5</v>
      </c>
    </row>
    <row r="338" spans="1:13" x14ac:dyDescent="0.25">
      <c r="A338" s="194">
        <v>337</v>
      </c>
      <c r="B338" s="195">
        <v>3</v>
      </c>
      <c r="C338" s="195">
        <v>5</v>
      </c>
      <c r="D338" s="195">
        <v>5</v>
      </c>
      <c r="E338" s="195">
        <v>5</v>
      </c>
      <c r="F338" s="195">
        <v>5</v>
      </c>
      <c r="G338" s="195">
        <v>5</v>
      </c>
      <c r="H338" s="195">
        <v>5</v>
      </c>
      <c r="I338" s="195">
        <v>5</v>
      </c>
      <c r="J338" s="195">
        <v>5</v>
      </c>
      <c r="K338" s="195">
        <v>5</v>
      </c>
      <c r="L338" s="195">
        <v>5</v>
      </c>
      <c r="M338" s="196">
        <v>5</v>
      </c>
    </row>
    <row r="339" spans="1:13" x14ac:dyDescent="0.25">
      <c r="A339" s="194">
        <v>338</v>
      </c>
      <c r="B339" s="195">
        <v>3</v>
      </c>
      <c r="C339" s="195">
        <v>5</v>
      </c>
      <c r="D339" s="195">
        <v>5</v>
      </c>
      <c r="E339" s="195">
        <v>5</v>
      </c>
      <c r="F339" s="195">
        <v>5</v>
      </c>
      <c r="G339" s="195">
        <v>5</v>
      </c>
      <c r="H339" s="195">
        <v>5</v>
      </c>
      <c r="I339" s="195">
        <v>3</v>
      </c>
      <c r="J339" s="195">
        <v>5</v>
      </c>
      <c r="K339" s="195">
        <v>5</v>
      </c>
      <c r="L339" s="195">
        <v>5</v>
      </c>
      <c r="M339" s="196">
        <v>5</v>
      </c>
    </row>
    <row r="340" spans="1:13" x14ac:dyDescent="0.25">
      <c r="A340" s="194">
        <v>339</v>
      </c>
      <c r="B340" s="195">
        <v>3</v>
      </c>
      <c r="C340" s="195">
        <v>5</v>
      </c>
      <c r="D340" s="195">
        <v>5</v>
      </c>
      <c r="E340" s="195">
        <v>5</v>
      </c>
      <c r="F340" s="195">
        <v>5</v>
      </c>
      <c r="G340" s="195">
        <v>5</v>
      </c>
      <c r="H340" s="195">
        <v>5</v>
      </c>
      <c r="I340" s="195">
        <v>5</v>
      </c>
      <c r="J340" s="195">
        <v>5</v>
      </c>
      <c r="K340" s="195">
        <v>5</v>
      </c>
      <c r="L340" s="195">
        <v>5</v>
      </c>
      <c r="M340" s="196">
        <v>5</v>
      </c>
    </row>
    <row r="341" spans="1:13" x14ac:dyDescent="0.25">
      <c r="A341" s="194">
        <v>340</v>
      </c>
      <c r="B341" s="195">
        <v>3</v>
      </c>
      <c r="C341" s="195">
        <v>5</v>
      </c>
      <c r="D341" s="195">
        <v>5</v>
      </c>
      <c r="E341" s="195">
        <v>4</v>
      </c>
      <c r="F341" s="195">
        <v>5</v>
      </c>
      <c r="G341" s="195">
        <v>5</v>
      </c>
      <c r="H341" s="195">
        <v>4</v>
      </c>
      <c r="I341" s="195">
        <v>4</v>
      </c>
      <c r="J341" s="195">
        <v>5</v>
      </c>
      <c r="K341" s="195">
        <v>4</v>
      </c>
      <c r="L341" s="195">
        <v>4</v>
      </c>
      <c r="M341" s="196">
        <v>5</v>
      </c>
    </row>
    <row r="342" spans="1:13" x14ac:dyDescent="0.25">
      <c r="A342" s="194">
        <v>341</v>
      </c>
      <c r="B342" s="195">
        <v>3</v>
      </c>
      <c r="C342" s="195">
        <v>5</v>
      </c>
      <c r="D342" s="195">
        <v>5</v>
      </c>
      <c r="E342" s="195">
        <v>5</v>
      </c>
      <c r="F342" s="195">
        <v>5</v>
      </c>
      <c r="G342" s="195">
        <v>5</v>
      </c>
      <c r="H342" s="195">
        <v>5</v>
      </c>
      <c r="I342" s="195">
        <v>5</v>
      </c>
      <c r="J342" s="195">
        <v>5</v>
      </c>
      <c r="K342" s="195">
        <v>5</v>
      </c>
      <c r="L342" s="195">
        <v>5</v>
      </c>
      <c r="M342" s="196">
        <v>5</v>
      </c>
    </row>
    <row r="343" spans="1:13" x14ac:dyDescent="0.25">
      <c r="A343" s="194">
        <v>342</v>
      </c>
      <c r="B343" s="195">
        <v>3</v>
      </c>
      <c r="C343" s="195">
        <v>5</v>
      </c>
      <c r="D343" s="195">
        <v>5</v>
      </c>
      <c r="E343" s="195">
        <v>3</v>
      </c>
      <c r="F343" s="195">
        <v>5</v>
      </c>
      <c r="G343" s="195">
        <v>5</v>
      </c>
      <c r="H343" s="195">
        <v>5</v>
      </c>
      <c r="I343" s="195">
        <v>4</v>
      </c>
      <c r="J343" s="195">
        <v>4</v>
      </c>
      <c r="K343" s="195">
        <v>4</v>
      </c>
      <c r="L343" s="195">
        <v>5</v>
      </c>
      <c r="M343" s="196">
        <v>5</v>
      </c>
    </row>
    <row r="344" spans="1:13" x14ac:dyDescent="0.25">
      <c r="A344" s="194">
        <v>343</v>
      </c>
      <c r="B344" s="195">
        <v>3</v>
      </c>
      <c r="C344" s="195">
        <v>5</v>
      </c>
      <c r="D344" s="195">
        <v>5</v>
      </c>
      <c r="E344" s="195">
        <v>4</v>
      </c>
      <c r="F344" s="195">
        <v>5</v>
      </c>
      <c r="G344" s="195">
        <v>5</v>
      </c>
      <c r="H344" s="195">
        <v>5</v>
      </c>
      <c r="I344" s="195">
        <v>5</v>
      </c>
      <c r="J344" s="195">
        <v>5</v>
      </c>
      <c r="K344" s="195">
        <v>5</v>
      </c>
      <c r="L344" s="195">
        <v>5</v>
      </c>
      <c r="M344" s="196">
        <v>5</v>
      </c>
    </row>
    <row r="345" spans="1:13" x14ac:dyDescent="0.25">
      <c r="A345" s="194">
        <v>344</v>
      </c>
      <c r="B345" s="195">
        <v>3</v>
      </c>
      <c r="C345" s="195">
        <v>3</v>
      </c>
      <c r="D345" s="195">
        <v>4</v>
      </c>
      <c r="E345" s="195">
        <v>3</v>
      </c>
      <c r="F345" s="195">
        <v>5</v>
      </c>
      <c r="G345" s="195">
        <v>5</v>
      </c>
      <c r="H345" s="195">
        <v>4</v>
      </c>
      <c r="I345" s="195">
        <v>4</v>
      </c>
      <c r="J345" s="195">
        <v>4</v>
      </c>
      <c r="K345" s="195">
        <v>5</v>
      </c>
      <c r="L345" s="195">
        <v>4</v>
      </c>
      <c r="M345" s="196">
        <v>5</v>
      </c>
    </row>
    <row r="346" spans="1:13" x14ac:dyDescent="0.25">
      <c r="A346" s="194">
        <v>345</v>
      </c>
      <c r="B346" s="195">
        <v>3</v>
      </c>
      <c r="C346" s="195">
        <v>5</v>
      </c>
      <c r="D346" s="195">
        <v>5</v>
      </c>
      <c r="E346" s="195">
        <v>5</v>
      </c>
      <c r="F346" s="195">
        <v>5</v>
      </c>
      <c r="G346" s="195">
        <v>5</v>
      </c>
      <c r="H346" s="195">
        <v>5</v>
      </c>
      <c r="I346" s="195">
        <v>5</v>
      </c>
      <c r="J346" s="195">
        <v>5</v>
      </c>
      <c r="K346" s="195">
        <v>5</v>
      </c>
      <c r="L346" s="195">
        <v>5</v>
      </c>
      <c r="M346" s="196">
        <v>5</v>
      </c>
    </row>
    <row r="347" spans="1:13" x14ac:dyDescent="0.25">
      <c r="A347" s="194">
        <v>346</v>
      </c>
      <c r="B347" s="195">
        <v>3</v>
      </c>
      <c r="C347" s="195">
        <v>5</v>
      </c>
      <c r="D347" s="195">
        <v>5</v>
      </c>
      <c r="E347" s="195">
        <v>5</v>
      </c>
      <c r="F347" s="195">
        <v>5</v>
      </c>
      <c r="G347" s="195">
        <v>5</v>
      </c>
      <c r="H347" s="195">
        <v>5</v>
      </c>
      <c r="I347" s="195">
        <v>5</v>
      </c>
      <c r="J347" s="195">
        <v>5</v>
      </c>
      <c r="K347" s="195">
        <v>5</v>
      </c>
      <c r="L347" s="195">
        <v>5</v>
      </c>
      <c r="M347" s="196">
        <v>5</v>
      </c>
    </row>
    <row r="348" spans="1:13" x14ac:dyDescent="0.25">
      <c r="A348" s="194">
        <v>347</v>
      </c>
      <c r="B348" s="195">
        <v>3</v>
      </c>
      <c r="C348" s="195">
        <v>5</v>
      </c>
      <c r="D348" s="195">
        <v>5</v>
      </c>
      <c r="E348" s="195">
        <v>5</v>
      </c>
      <c r="F348" s="195">
        <v>5</v>
      </c>
      <c r="G348" s="195">
        <v>5</v>
      </c>
      <c r="H348" s="195">
        <v>5</v>
      </c>
      <c r="I348" s="195">
        <v>5</v>
      </c>
      <c r="J348" s="195">
        <v>5</v>
      </c>
      <c r="K348" s="195">
        <v>5</v>
      </c>
      <c r="L348" s="195">
        <v>5</v>
      </c>
      <c r="M348" s="196">
        <v>5</v>
      </c>
    </row>
    <row r="349" spans="1:13" x14ac:dyDescent="0.25">
      <c r="A349" s="194">
        <v>348</v>
      </c>
      <c r="B349" s="195">
        <v>3</v>
      </c>
      <c r="C349" s="195">
        <v>5</v>
      </c>
      <c r="D349" s="195">
        <v>5</v>
      </c>
      <c r="E349" s="195">
        <v>5</v>
      </c>
      <c r="F349" s="195">
        <v>5</v>
      </c>
      <c r="G349" s="195">
        <v>5</v>
      </c>
      <c r="H349" s="195">
        <v>5</v>
      </c>
      <c r="I349" s="195">
        <v>5</v>
      </c>
      <c r="J349" s="195">
        <v>5</v>
      </c>
      <c r="K349" s="195">
        <v>5</v>
      </c>
      <c r="L349" s="195">
        <v>5</v>
      </c>
      <c r="M349" s="196">
        <v>5</v>
      </c>
    </row>
    <row r="350" spans="1:13" x14ac:dyDescent="0.25">
      <c r="A350" s="194">
        <v>349</v>
      </c>
      <c r="B350" s="195">
        <v>3</v>
      </c>
      <c r="C350" s="195">
        <v>5</v>
      </c>
      <c r="D350" s="195">
        <v>5</v>
      </c>
      <c r="E350" s="195">
        <v>5</v>
      </c>
      <c r="F350" s="195">
        <v>5</v>
      </c>
      <c r="G350" s="195">
        <v>5</v>
      </c>
      <c r="H350" s="195">
        <v>5</v>
      </c>
      <c r="I350" s="195">
        <v>5</v>
      </c>
      <c r="J350" s="195">
        <v>5</v>
      </c>
      <c r="K350" s="195">
        <v>5</v>
      </c>
      <c r="L350" s="195">
        <v>5</v>
      </c>
      <c r="M350" s="196">
        <v>5</v>
      </c>
    </row>
    <row r="351" spans="1:13" x14ac:dyDescent="0.25">
      <c r="A351" s="194">
        <v>350</v>
      </c>
      <c r="B351" s="195">
        <v>3</v>
      </c>
      <c r="C351" s="195">
        <v>5</v>
      </c>
      <c r="D351" s="195">
        <v>5</v>
      </c>
      <c r="E351" s="195">
        <v>5</v>
      </c>
      <c r="F351" s="195">
        <v>5</v>
      </c>
      <c r="G351" s="195">
        <v>5</v>
      </c>
      <c r="H351" s="195">
        <v>5</v>
      </c>
      <c r="I351" s="195">
        <v>5</v>
      </c>
      <c r="J351" s="195">
        <v>5</v>
      </c>
      <c r="K351" s="195">
        <v>5</v>
      </c>
      <c r="L351" s="195">
        <v>5</v>
      </c>
      <c r="M351" s="196">
        <v>5</v>
      </c>
    </row>
    <row r="352" spans="1:13" x14ac:dyDescent="0.25">
      <c r="A352" s="194">
        <v>351</v>
      </c>
      <c r="B352" s="195">
        <v>3</v>
      </c>
      <c r="C352" s="195">
        <v>5</v>
      </c>
      <c r="D352" s="195">
        <v>5</v>
      </c>
      <c r="E352" s="195">
        <v>4</v>
      </c>
      <c r="F352" s="195">
        <v>5</v>
      </c>
      <c r="G352" s="195">
        <v>5</v>
      </c>
      <c r="H352" s="195">
        <v>5</v>
      </c>
      <c r="I352" s="195">
        <v>5</v>
      </c>
      <c r="J352" s="195">
        <v>5</v>
      </c>
      <c r="K352" s="195">
        <v>5</v>
      </c>
      <c r="L352" s="195">
        <v>4</v>
      </c>
      <c r="M352" s="196">
        <v>5</v>
      </c>
    </row>
    <row r="353" spans="1:13" x14ac:dyDescent="0.25">
      <c r="A353" s="194">
        <v>352</v>
      </c>
      <c r="B353" s="195">
        <v>3</v>
      </c>
      <c r="C353" s="195">
        <v>4</v>
      </c>
      <c r="D353" s="195">
        <v>5</v>
      </c>
      <c r="E353" s="195">
        <v>5</v>
      </c>
      <c r="F353" s="195">
        <v>5</v>
      </c>
      <c r="G353" s="195">
        <v>5</v>
      </c>
      <c r="H353" s="195">
        <v>5</v>
      </c>
      <c r="I353" s="195">
        <v>5</v>
      </c>
      <c r="J353" s="195">
        <v>5</v>
      </c>
      <c r="K353" s="195">
        <v>5</v>
      </c>
      <c r="L353" s="195">
        <v>5</v>
      </c>
      <c r="M353" s="196">
        <v>5</v>
      </c>
    </row>
    <row r="354" spans="1:13" x14ac:dyDescent="0.25">
      <c r="A354" s="194">
        <v>353</v>
      </c>
      <c r="B354" s="195">
        <v>3</v>
      </c>
      <c r="C354" s="195">
        <v>5</v>
      </c>
      <c r="D354" s="195">
        <v>5</v>
      </c>
      <c r="E354" s="195">
        <v>3</v>
      </c>
      <c r="F354" s="195">
        <v>4</v>
      </c>
      <c r="G354" s="195">
        <v>4</v>
      </c>
      <c r="H354" s="195">
        <v>4</v>
      </c>
      <c r="I354" s="195">
        <v>5</v>
      </c>
      <c r="J354" s="195">
        <v>5</v>
      </c>
      <c r="K354" s="195">
        <v>4</v>
      </c>
      <c r="L354" s="195">
        <v>1</v>
      </c>
      <c r="M354" s="196">
        <v>5</v>
      </c>
    </row>
    <row r="355" spans="1:13" x14ac:dyDescent="0.25">
      <c r="A355" s="194">
        <v>354</v>
      </c>
      <c r="B355" s="195">
        <v>3</v>
      </c>
      <c r="C355" s="195">
        <v>5</v>
      </c>
      <c r="D355" s="195">
        <v>4</v>
      </c>
      <c r="E355" s="195">
        <v>4</v>
      </c>
      <c r="F355" s="195">
        <v>4</v>
      </c>
      <c r="G355" s="195">
        <v>1</v>
      </c>
      <c r="H355" s="195">
        <v>4</v>
      </c>
      <c r="I355" s="195">
        <v>4</v>
      </c>
      <c r="J355" s="195">
        <v>4</v>
      </c>
      <c r="K355" s="195">
        <v>3</v>
      </c>
      <c r="L355" s="195">
        <v>4</v>
      </c>
      <c r="M355" s="196">
        <v>5</v>
      </c>
    </row>
    <row r="356" spans="1:13" x14ac:dyDescent="0.25">
      <c r="A356" s="194">
        <v>355</v>
      </c>
      <c r="B356" s="195">
        <v>3</v>
      </c>
      <c r="C356" s="195">
        <v>5</v>
      </c>
      <c r="D356" s="195">
        <v>5</v>
      </c>
      <c r="E356" s="195">
        <v>5</v>
      </c>
      <c r="F356" s="195">
        <v>5</v>
      </c>
      <c r="G356" s="195">
        <v>5</v>
      </c>
      <c r="H356" s="195">
        <v>5</v>
      </c>
      <c r="I356" s="195">
        <v>5</v>
      </c>
      <c r="J356" s="195">
        <v>5</v>
      </c>
      <c r="K356" s="195">
        <v>5</v>
      </c>
      <c r="L356" s="195">
        <v>5</v>
      </c>
      <c r="M356" s="196">
        <v>5</v>
      </c>
    </row>
    <row r="357" spans="1:13" x14ac:dyDescent="0.25">
      <c r="A357" s="194">
        <v>356</v>
      </c>
      <c r="B357" s="195">
        <v>3</v>
      </c>
      <c r="C357" s="195">
        <v>5</v>
      </c>
      <c r="D357" s="195">
        <v>5</v>
      </c>
      <c r="E357" s="195">
        <v>5</v>
      </c>
      <c r="F357" s="195">
        <v>5</v>
      </c>
      <c r="G357" s="195">
        <v>5</v>
      </c>
      <c r="H357" s="195">
        <v>5</v>
      </c>
      <c r="I357" s="195">
        <v>5</v>
      </c>
      <c r="J357" s="195">
        <v>5</v>
      </c>
      <c r="K357" s="195">
        <v>5</v>
      </c>
      <c r="L357" s="195">
        <v>5</v>
      </c>
      <c r="M357" s="196">
        <v>5</v>
      </c>
    </row>
    <row r="358" spans="1:13" x14ac:dyDescent="0.25">
      <c r="A358" s="194">
        <v>357</v>
      </c>
      <c r="B358" s="195">
        <v>3</v>
      </c>
      <c r="C358" s="195">
        <v>5</v>
      </c>
      <c r="D358" s="195">
        <v>5</v>
      </c>
      <c r="E358" s="195">
        <v>5</v>
      </c>
      <c r="F358" s="195">
        <v>5</v>
      </c>
      <c r="G358" s="195">
        <v>5</v>
      </c>
      <c r="H358" s="195">
        <v>5</v>
      </c>
      <c r="I358" s="195">
        <v>5</v>
      </c>
      <c r="J358" s="195">
        <v>5</v>
      </c>
      <c r="K358" s="195">
        <v>5</v>
      </c>
      <c r="L358" s="195">
        <v>5</v>
      </c>
      <c r="M358" s="196">
        <v>5</v>
      </c>
    </row>
    <row r="359" spans="1:13" x14ac:dyDescent="0.25">
      <c r="A359" s="194">
        <v>358</v>
      </c>
      <c r="B359" s="195">
        <v>3</v>
      </c>
      <c r="C359" s="195">
        <v>5</v>
      </c>
      <c r="D359" s="195">
        <v>5</v>
      </c>
      <c r="E359" s="195">
        <v>5</v>
      </c>
      <c r="F359" s="195">
        <v>5</v>
      </c>
      <c r="G359" s="195">
        <v>3</v>
      </c>
      <c r="H359" s="195">
        <v>5</v>
      </c>
      <c r="I359" s="195">
        <v>5</v>
      </c>
      <c r="J359" s="195">
        <v>5</v>
      </c>
      <c r="K359" s="195">
        <v>5</v>
      </c>
      <c r="L359" s="195">
        <v>5</v>
      </c>
      <c r="M359" s="196">
        <v>5</v>
      </c>
    </row>
    <row r="360" spans="1:13" x14ac:dyDescent="0.25">
      <c r="A360" s="194">
        <v>359</v>
      </c>
      <c r="B360" s="195">
        <v>3</v>
      </c>
      <c r="C360" s="195">
        <v>5</v>
      </c>
      <c r="D360" s="195">
        <v>5</v>
      </c>
      <c r="E360" s="195">
        <v>4</v>
      </c>
      <c r="F360" s="195">
        <v>5</v>
      </c>
      <c r="G360" s="195">
        <v>5</v>
      </c>
      <c r="H360" s="195">
        <v>4</v>
      </c>
      <c r="I360" s="195">
        <v>5</v>
      </c>
      <c r="J360" s="195">
        <v>5</v>
      </c>
      <c r="K360" s="195">
        <v>5</v>
      </c>
      <c r="L360" s="195">
        <v>5</v>
      </c>
      <c r="M360" s="196">
        <v>5</v>
      </c>
    </row>
    <row r="361" spans="1:13" x14ac:dyDescent="0.25">
      <c r="A361" s="194">
        <v>360</v>
      </c>
      <c r="B361" s="195">
        <v>3</v>
      </c>
      <c r="C361" s="195">
        <v>5</v>
      </c>
      <c r="D361" s="195">
        <v>5</v>
      </c>
      <c r="E361" s="195">
        <v>4</v>
      </c>
      <c r="F361" s="195">
        <v>5</v>
      </c>
      <c r="G361" s="195">
        <v>5</v>
      </c>
      <c r="H361" s="195">
        <v>5</v>
      </c>
      <c r="I361" s="195">
        <v>5</v>
      </c>
      <c r="J361" s="195">
        <v>5</v>
      </c>
      <c r="K361" s="195">
        <v>5</v>
      </c>
      <c r="L361" s="195">
        <v>5</v>
      </c>
      <c r="M361" s="196">
        <v>5</v>
      </c>
    </row>
    <row r="362" spans="1:13" x14ac:dyDescent="0.25">
      <c r="A362" s="194">
        <v>361</v>
      </c>
      <c r="B362" s="195">
        <v>3</v>
      </c>
      <c r="C362" s="195">
        <v>4</v>
      </c>
      <c r="D362" s="195">
        <v>4</v>
      </c>
      <c r="E362" s="195">
        <v>5</v>
      </c>
      <c r="F362" s="195">
        <v>5</v>
      </c>
      <c r="G362" s="195">
        <v>4</v>
      </c>
      <c r="H362" s="195">
        <v>4</v>
      </c>
      <c r="I362" s="195">
        <v>4</v>
      </c>
      <c r="J362" s="195">
        <v>5</v>
      </c>
      <c r="K362" s="195">
        <v>4</v>
      </c>
      <c r="L362" s="195">
        <v>4</v>
      </c>
      <c r="M362" s="196">
        <v>5</v>
      </c>
    </row>
    <row r="363" spans="1:13" x14ac:dyDescent="0.25">
      <c r="A363" s="194">
        <v>362</v>
      </c>
      <c r="B363" s="195">
        <v>3</v>
      </c>
      <c r="C363" s="195">
        <v>5</v>
      </c>
      <c r="D363" s="195">
        <v>5</v>
      </c>
      <c r="E363" s="195">
        <v>5</v>
      </c>
      <c r="F363" s="195">
        <v>3</v>
      </c>
      <c r="G363" s="195">
        <v>5</v>
      </c>
      <c r="H363" s="195">
        <v>4</v>
      </c>
      <c r="I363" s="195">
        <v>3</v>
      </c>
      <c r="J363" s="195">
        <v>3</v>
      </c>
      <c r="K363" s="195">
        <v>5</v>
      </c>
      <c r="L363" s="195">
        <v>5</v>
      </c>
      <c r="M363" s="196">
        <v>5</v>
      </c>
    </row>
    <row r="364" spans="1:13" x14ac:dyDescent="0.25">
      <c r="A364" s="194">
        <v>363</v>
      </c>
      <c r="B364" s="195">
        <v>3</v>
      </c>
      <c r="C364" s="195">
        <v>5</v>
      </c>
      <c r="D364" s="195">
        <v>4</v>
      </c>
      <c r="E364" s="195">
        <v>4</v>
      </c>
      <c r="F364" s="195">
        <v>5</v>
      </c>
      <c r="G364" s="195">
        <v>5</v>
      </c>
      <c r="H364" s="195">
        <v>5</v>
      </c>
      <c r="I364" s="195">
        <v>5</v>
      </c>
      <c r="J364" s="195">
        <v>4</v>
      </c>
      <c r="K364" s="195">
        <v>4</v>
      </c>
      <c r="L364" s="195">
        <v>5</v>
      </c>
      <c r="M364" s="196">
        <v>5</v>
      </c>
    </row>
    <row r="365" spans="1:13" x14ac:dyDescent="0.25">
      <c r="A365" s="194">
        <v>364</v>
      </c>
      <c r="B365" s="195">
        <v>3</v>
      </c>
      <c r="C365" s="195">
        <v>5</v>
      </c>
      <c r="D365" s="195">
        <v>5</v>
      </c>
      <c r="E365" s="195">
        <v>5</v>
      </c>
      <c r="F365" s="195">
        <v>5</v>
      </c>
      <c r="G365" s="195">
        <v>5</v>
      </c>
      <c r="H365" s="195">
        <v>4</v>
      </c>
      <c r="I365" s="195">
        <v>5</v>
      </c>
      <c r="J365" s="195">
        <v>5</v>
      </c>
      <c r="K365" s="195">
        <v>5</v>
      </c>
      <c r="L365" s="195">
        <v>1</v>
      </c>
      <c r="M365" s="196">
        <v>5</v>
      </c>
    </row>
    <row r="366" spans="1:13" x14ac:dyDescent="0.25">
      <c r="A366" s="194">
        <v>365</v>
      </c>
      <c r="B366" s="195">
        <v>2</v>
      </c>
      <c r="C366" s="195">
        <v>5</v>
      </c>
      <c r="D366" s="195">
        <v>5</v>
      </c>
      <c r="E366" s="195">
        <v>4</v>
      </c>
      <c r="F366" s="195">
        <v>5</v>
      </c>
      <c r="G366" s="195">
        <v>5</v>
      </c>
      <c r="H366" s="195">
        <v>4</v>
      </c>
      <c r="I366" s="195">
        <v>5</v>
      </c>
      <c r="J366" s="195">
        <v>5</v>
      </c>
      <c r="K366" s="195">
        <v>5</v>
      </c>
      <c r="L366" s="195">
        <v>5</v>
      </c>
      <c r="M366" s="196">
        <v>5</v>
      </c>
    </row>
    <row r="367" spans="1:13" x14ac:dyDescent="0.25">
      <c r="A367" s="194">
        <v>366</v>
      </c>
      <c r="B367" s="195">
        <v>2</v>
      </c>
      <c r="C367" s="195">
        <v>5</v>
      </c>
      <c r="D367" s="195">
        <v>4</v>
      </c>
      <c r="E367" s="195">
        <v>4</v>
      </c>
      <c r="F367" s="195">
        <v>5</v>
      </c>
      <c r="G367" s="195">
        <v>4</v>
      </c>
      <c r="H367" s="195">
        <v>3</v>
      </c>
      <c r="I367" s="195">
        <v>4</v>
      </c>
      <c r="J367" s="195">
        <v>5</v>
      </c>
      <c r="K367" s="195">
        <v>3</v>
      </c>
      <c r="L367" s="195">
        <v>4</v>
      </c>
      <c r="M367" s="196">
        <v>5</v>
      </c>
    </row>
    <row r="368" spans="1:13" x14ac:dyDescent="0.25">
      <c r="A368" s="194">
        <v>367</v>
      </c>
      <c r="B368" s="195">
        <v>2</v>
      </c>
      <c r="C368" s="195">
        <v>5</v>
      </c>
      <c r="D368" s="195">
        <v>5</v>
      </c>
      <c r="E368" s="195">
        <v>5</v>
      </c>
      <c r="F368" s="195">
        <v>5</v>
      </c>
      <c r="G368" s="195">
        <v>5</v>
      </c>
      <c r="H368" s="195">
        <v>5</v>
      </c>
      <c r="I368" s="195">
        <v>5</v>
      </c>
      <c r="J368" s="195">
        <v>5</v>
      </c>
      <c r="K368" s="195">
        <v>5</v>
      </c>
      <c r="L368" s="195">
        <v>5</v>
      </c>
      <c r="M368" s="196">
        <v>5</v>
      </c>
    </row>
    <row r="369" spans="1:13" x14ac:dyDescent="0.25">
      <c r="A369" s="194">
        <v>368</v>
      </c>
      <c r="B369" s="195">
        <v>2</v>
      </c>
      <c r="C369" s="195">
        <v>5</v>
      </c>
      <c r="D369" s="195">
        <v>5</v>
      </c>
      <c r="E369" s="195">
        <v>5</v>
      </c>
      <c r="F369" s="195">
        <v>5</v>
      </c>
      <c r="G369" s="195">
        <v>5</v>
      </c>
      <c r="H369" s="195">
        <v>5</v>
      </c>
      <c r="I369" s="195">
        <v>5</v>
      </c>
      <c r="J369" s="195">
        <v>5</v>
      </c>
      <c r="K369" s="195">
        <v>5</v>
      </c>
      <c r="L369" s="195">
        <v>5</v>
      </c>
      <c r="M369" s="196">
        <v>5</v>
      </c>
    </row>
    <row r="370" spans="1:13" x14ac:dyDescent="0.25">
      <c r="A370" s="194">
        <v>369</v>
      </c>
      <c r="B370" s="195">
        <v>2</v>
      </c>
      <c r="C370" s="195">
        <v>4</v>
      </c>
      <c r="D370" s="195">
        <v>4</v>
      </c>
      <c r="E370" s="195">
        <v>4</v>
      </c>
      <c r="F370" s="195">
        <v>5</v>
      </c>
      <c r="G370" s="195">
        <v>3</v>
      </c>
      <c r="H370" s="195">
        <v>4</v>
      </c>
      <c r="I370" s="195">
        <v>3</v>
      </c>
      <c r="J370" s="195">
        <v>4</v>
      </c>
      <c r="K370" s="195">
        <v>5</v>
      </c>
      <c r="L370" s="195">
        <v>4</v>
      </c>
      <c r="M370" s="196">
        <v>5</v>
      </c>
    </row>
    <row r="371" spans="1:13" x14ac:dyDescent="0.25">
      <c r="A371" s="194">
        <v>370</v>
      </c>
      <c r="B371" s="195">
        <v>2</v>
      </c>
      <c r="C371" s="195">
        <v>5</v>
      </c>
      <c r="D371" s="195">
        <v>5</v>
      </c>
      <c r="E371" s="195">
        <v>5</v>
      </c>
      <c r="F371" s="195">
        <v>5</v>
      </c>
      <c r="G371" s="195">
        <v>4</v>
      </c>
      <c r="H371" s="195">
        <v>4</v>
      </c>
      <c r="I371" s="195">
        <v>3</v>
      </c>
      <c r="J371" s="195">
        <v>4</v>
      </c>
      <c r="K371" s="195">
        <v>5</v>
      </c>
      <c r="L371" s="195">
        <v>4</v>
      </c>
      <c r="M371" s="196">
        <v>5</v>
      </c>
    </row>
    <row r="372" spans="1:13" x14ac:dyDescent="0.25">
      <c r="A372" s="194">
        <v>371</v>
      </c>
      <c r="B372" s="195">
        <v>2</v>
      </c>
      <c r="C372" s="195">
        <v>5</v>
      </c>
      <c r="D372" s="195">
        <v>5</v>
      </c>
      <c r="E372" s="195">
        <v>4</v>
      </c>
      <c r="F372" s="195">
        <v>5</v>
      </c>
      <c r="G372" s="195">
        <v>5</v>
      </c>
      <c r="H372" s="195">
        <v>5</v>
      </c>
      <c r="I372" s="195">
        <v>3</v>
      </c>
      <c r="J372" s="195">
        <v>5</v>
      </c>
      <c r="K372" s="195">
        <v>5</v>
      </c>
      <c r="L372" s="195">
        <v>5</v>
      </c>
      <c r="M372" s="196">
        <v>5</v>
      </c>
    </row>
    <row r="373" spans="1:13" x14ac:dyDescent="0.25">
      <c r="A373" s="194">
        <v>372</v>
      </c>
      <c r="B373" s="195">
        <v>2</v>
      </c>
      <c r="C373" s="195">
        <v>5</v>
      </c>
      <c r="D373" s="195">
        <v>5</v>
      </c>
      <c r="E373" s="195">
        <v>3</v>
      </c>
      <c r="F373" s="195">
        <v>5</v>
      </c>
      <c r="G373" s="195">
        <v>5</v>
      </c>
      <c r="H373" s="195">
        <v>5</v>
      </c>
      <c r="I373" s="195">
        <v>5</v>
      </c>
      <c r="J373" s="195">
        <v>5</v>
      </c>
      <c r="K373" s="195">
        <v>5</v>
      </c>
      <c r="L373" s="195">
        <v>5</v>
      </c>
      <c r="M373" s="196">
        <v>5</v>
      </c>
    </row>
    <row r="374" spans="1:13" x14ac:dyDescent="0.25">
      <c r="A374" s="194">
        <v>373</v>
      </c>
      <c r="B374" s="195">
        <v>2</v>
      </c>
      <c r="C374" s="195">
        <v>5</v>
      </c>
      <c r="D374" s="195">
        <v>5</v>
      </c>
      <c r="E374" s="195">
        <v>5</v>
      </c>
      <c r="F374" s="195">
        <v>5</v>
      </c>
      <c r="G374" s="195">
        <v>5</v>
      </c>
      <c r="H374" s="195">
        <v>5</v>
      </c>
      <c r="I374" s="195">
        <v>5</v>
      </c>
      <c r="J374" s="195">
        <v>5</v>
      </c>
      <c r="K374" s="195">
        <v>5</v>
      </c>
      <c r="L374" s="195">
        <v>5</v>
      </c>
      <c r="M374" s="196">
        <v>5</v>
      </c>
    </row>
    <row r="375" spans="1:13" x14ac:dyDescent="0.25">
      <c r="A375" s="194">
        <v>374</v>
      </c>
      <c r="B375" s="195">
        <v>2</v>
      </c>
      <c r="C375" s="195">
        <v>5</v>
      </c>
      <c r="D375" s="195">
        <v>4</v>
      </c>
      <c r="E375" s="195">
        <v>5</v>
      </c>
      <c r="F375" s="195">
        <v>5</v>
      </c>
      <c r="G375" s="195">
        <v>5</v>
      </c>
      <c r="H375" s="195">
        <v>5</v>
      </c>
      <c r="I375" s="195">
        <v>5</v>
      </c>
      <c r="J375" s="195">
        <v>5</v>
      </c>
      <c r="K375" s="195">
        <v>5</v>
      </c>
      <c r="L375" s="195">
        <v>5</v>
      </c>
      <c r="M375" s="196">
        <v>5</v>
      </c>
    </row>
    <row r="376" spans="1:13" x14ac:dyDescent="0.25">
      <c r="A376" s="194">
        <v>375</v>
      </c>
      <c r="B376" s="195">
        <v>2</v>
      </c>
      <c r="C376" s="195">
        <v>5</v>
      </c>
      <c r="D376" s="195">
        <v>5</v>
      </c>
      <c r="E376" s="195">
        <v>4</v>
      </c>
      <c r="F376" s="195">
        <v>5</v>
      </c>
      <c r="G376" s="195">
        <v>5</v>
      </c>
      <c r="H376" s="195">
        <v>4</v>
      </c>
      <c r="I376" s="195">
        <v>5</v>
      </c>
      <c r="J376" s="195">
        <v>5</v>
      </c>
      <c r="K376" s="195">
        <v>4</v>
      </c>
      <c r="L376" s="195">
        <v>3</v>
      </c>
      <c r="M376" s="196">
        <v>5</v>
      </c>
    </row>
    <row r="377" spans="1:13" x14ac:dyDescent="0.25">
      <c r="A377" s="194">
        <v>376</v>
      </c>
      <c r="B377" s="195">
        <v>1</v>
      </c>
      <c r="C377" s="195">
        <v>5</v>
      </c>
      <c r="D377" s="195">
        <v>5</v>
      </c>
      <c r="E377" s="195">
        <v>3</v>
      </c>
      <c r="F377" s="195">
        <v>5</v>
      </c>
      <c r="G377" s="195">
        <v>4</v>
      </c>
      <c r="H377" s="195">
        <v>4</v>
      </c>
      <c r="I377" s="195">
        <v>4</v>
      </c>
      <c r="J377" s="195">
        <v>4</v>
      </c>
      <c r="K377" s="195">
        <v>4</v>
      </c>
      <c r="L377" s="195">
        <v>5</v>
      </c>
      <c r="M377" s="196">
        <v>5</v>
      </c>
    </row>
    <row r="378" spans="1:13" x14ac:dyDescent="0.25">
      <c r="A378" s="194">
        <v>377</v>
      </c>
      <c r="B378" s="195">
        <v>1</v>
      </c>
      <c r="C378" s="195">
        <v>5</v>
      </c>
      <c r="D378" s="195">
        <v>5</v>
      </c>
      <c r="E378" s="195">
        <v>4</v>
      </c>
      <c r="F378" s="195">
        <v>5</v>
      </c>
      <c r="G378" s="195">
        <v>5</v>
      </c>
      <c r="H378" s="195">
        <v>5</v>
      </c>
      <c r="I378" s="195">
        <v>4</v>
      </c>
      <c r="J378" s="195">
        <v>5</v>
      </c>
      <c r="K378" s="195">
        <v>5</v>
      </c>
      <c r="L378" s="195">
        <v>3</v>
      </c>
      <c r="M378" s="196">
        <v>5</v>
      </c>
    </row>
    <row r="379" spans="1:13" x14ac:dyDescent="0.25">
      <c r="A379" s="194">
        <v>378</v>
      </c>
      <c r="B379" s="195">
        <v>1</v>
      </c>
      <c r="C379" s="195">
        <v>5</v>
      </c>
      <c r="D379" s="195">
        <v>5</v>
      </c>
      <c r="E379" s="195">
        <v>5</v>
      </c>
      <c r="F379" s="195">
        <v>5</v>
      </c>
      <c r="G379" s="195">
        <v>5</v>
      </c>
      <c r="H379" s="195">
        <v>5</v>
      </c>
      <c r="I379" s="195">
        <v>5</v>
      </c>
      <c r="J379" s="195">
        <v>5</v>
      </c>
      <c r="K379" s="195">
        <v>5</v>
      </c>
      <c r="L379" s="195">
        <v>5</v>
      </c>
      <c r="M379" s="196">
        <v>5</v>
      </c>
    </row>
    <row r="380" spans="1:13" x14ac:dyDescent="0.25">
      <c r="A380" s="194">
        <v>379</v>
      </c>
      <c r="B380" s="195">
        <v>5</v>
      </c>
      <c r="C380" s="195">
        <v>5</v>
      </c>
      <c r="D380" s="195">
        <v>5</v>
      </c>
      <c r="E380" s="195">
        <v>5</v>
      </c>
      <c r="F380" s="195">
        <v>5</v>
      </c>
      <c r="G380" s="195">
        <v>4</v>
      </c>
      <c r="H380" s="195">
        <v>3</v>
      </c>
      <c r="I380" s="195">
        <v>4</v>
      </c>
      <c r="J380" s="195">
        <v>5</v>
      </c>
      <c r="K380" s="195">
        <v>5</v>
      </c>
      <c r="L380" s="195">
        <v>5</v>
      </c>
      <c r="M380" s="196">
        <v>4</v>
      </c>
    </row>
    <row r="381" spans="1:13" x14ac:dyDescent="0.25">
      <c r="A381" s="194">
        <v>380</v>
      </c>
      <c r="B381" s="195">
        <v>5</v>
      </c>
      <c r="C381" s="195">
        <v>5</v>
      </c>
      <c r="D381" s="195">
        <v>5</v>
      </c>
      <c r="E381" s="195">
        <v>5</v>
      </c>
      <c r="F381" s="195">
        <v>4</v>
      </c>
      <c r="G381" s="195">
        <v>4</v>
      </c>
      <c r="H381" s="195">
        <v>5</v>
      </c>
      <c r="I381" s="195">
        <v>4</v>
      </c>
      <c r="J381" s="195">
        <v>4</v>
      </c>
      <c r="K381" s="195">
        <v>5</v>
      </c>
      <c r="L381" s="195">
        <v>5</v>
      </c>
      <c r="M381" s="196">
        <v>4</v>
      </c>
    </row>
    <row r="382" spans="1:13" x14ac:dyDescent="0.25">
      <c r="A382" s="194">
        <v>381</v>
      </c>
      <c r="B382" s="195">
        <v>5</v>
      </c>
      <c r="C382" s="195">
        <v>5</v>
      </c>
      <c r="D382" s="195">
        <v>5</v>
      </c>
      <c r="E382" s="195">
        <v>4</v>
      </c>
      <c r="F382" s="195">
        <v>5</v>
      </c>
      <c r="G382" s="195">
        <v>4</v>
      </c>
      <c r="H382" s="195">
        <v>4</v>
      </c>
      <c r="I382" s="195">
        <v>5</v>
      </c>
      <c r="J382" s="195">
        <v>5</v>
      </c>
      <c r="K382" s="195">
        <v>5</v>
      </c>
      <c r="L382" s="195">
        <v>3</v>
      </c>
      <c r="M382" s="196">
        <v>4</v>
      </c>
    </row>
    <row r="383" spans="1:13" x14ac:dyDescent="0.25">
      <c r="A383" s="194">
        <v>382</v>
      </c>
      <c r="B383" s="195">
        <v>5</v>
      </c>
      <c r="C383" s="195">
        <v>4</v>
      </c>
      <c r="D383" s="195">
        <v>4</v>
      </c>
      <c r="E383" s="195">
        <v>5</v>
      </c>
      <c r="F383" s="195">
        <v>4</v>
      </c>
      <c r="G383" s="195">
        <v>3</v>
      </c>
      <c r="H383" s="195">
        <v>4</v>
      </c>
      <c r="I383" s="195">
        <v>5</v>
      </c>
      <c r="J383" s="195">
        <v>5</v>
      </c>
      <c r="K383" s="195">
        <v>4</v>
      </c>
      <c r="L383" s="195">
        <v>4</v>
      </c>
      <c r="M383" s="196">
        <v>4</v>
      </c>
    </row>
    <row r="384" spans="1:13" x14ac:dyDescent="0.25">
      <c r="A384" s="194">
        <v>383</v>
      </c>
      <c r="B384" s="195">
        <v>5</v>
      </c>
      <c r="C384" s="195">
        <v>4</v>
      </c>
      <c r="D384" s="195">
        <v>4</v>
      </c>
      <c r="E384" s="195">
        <v>5</v>
      </c>
      <c r="F384" s="195">
        <v>5</v>
      </c>
      <c r="G384" s="195">
        <v>5</v>
      </c>
      <c r="H384" s="195">
        <v>5</v>
      </c>
      <c r="I384" s="195">
        <v>5</v>
      </c>
      <c r="J384" s="195">
        <v>5</v>
      </c>
      <c r="K384" s="195">
        <v>5</v>
      </c>
      <c r="L384" s="195">
        <v>5</v>
      </c>
      <c r="M384" s="196">
        <v>4</v>
      </c>
    </row>
    <row r="385" spans="1:13" x14ac:dyDescent="0.25">
      <c r="A385" s="194">
        <v>384</v>
      </c>
      <c r="B385" s="195">
        <v>5</v>
      </c>
      <c r="C385" s="195">
        <v>4</v>
      </c>
      <c r="D385" s="195">
        <v>4</v>
      </c>
      <c r="E385" s="195">
        <v>5</v>
      </c>
      <c r="F385" s="195">
        <v>5</v>
      </c>
      <c r="G385" s="195">
        <v>5</v>
      </c>
      <c r="H385" s="195">
        <v>5</v>
      </c>
      <c r="I385" s="195">
        <v>5</v>
      </c>
      <c r="J385" s="195">
        <v>5</v>
      </c>
      <c r="K385" s="195">
        <v>5</v>
      </c>
      <c r="L385" s="195">
        <v>4</v>
      </c>
      <c r="M385" s="196">
        <v>4</v>
      </c>
    </row>
    <row r="386" spans="1:13" x14ac:dyDescent="0.25">
      <c r="A386" s="194">
        <v>385</v>
      </c>
      <c r="B386" s="195">
        <v>5</v>
      </c>
      <c r="C386" s="195">
        <v>5</v>
      </c>
      <c r="D386" s="195">
        <v>5</v>
      </c>
      <c r="E386" s="195">
        <v>5</v>
      </c>
      <c r="F386" s="195">
        <v>5</v>
      </c>
      <c r="G386" s="195">
        <v>5</v>
      </c>
      <c r="H386" s="195">
        <v>5</v>
      </c>
      <c r="I386" s="195">
        <v>5</v>
      </c>
      <c r="J386" s="195">
        <v>5</v>
      </c>
      <c r="K386" s="195">
        <v>5</v>
      </c>
      <c r="L386" s="195">
        <v>4</v>
      </c>
      <c r="M386" s="196">
        <v>4</v>
      </c>
    </row>
    <row r="387" spans="1:13" x14ac:dyDescent="0.25">
      <c r="A387" s="194">
        <v>386</v>
      </c>
      <c r="B387" s="195">
        <v>5</v>
      </c>
      <c r="C387" s="195">
        <v>5</v>
      </c>
      <c r="D387" s="195">
        <v>5</v>
      </c>
      <c r="E387" s="195">
        <v>5</v>
      </c>
      <c r="F387" s="195">
        <v>5</v>
      </c>
      <c r="G387" s="195">
        <v>5</v>
      </c>
      <c r="H387" s="195">
        <v>5</v>
      </c>
      <c r="I387" s="195">
        <v>4</v>
      </c>
      <c r="J387" s="195">
        <v>4</v>
      </c>
      <c r="K387" s="195">
        <v>4</v>
      </c>
      <c r="L387" s="195">
        <v>4</v>
      </c>
      <c r="M387" s="196">
        <v>4</v>
      </c>
    </row>
    <row r="388" spans="1:13" x14ac:dyDescent="0.25">
      <c r="A388" s="194">
        <v>387</v>
      </c>
      <c r="B388" s="195">
        <v>5</v>
      </c>
      <c r="C388" s="195">
        <v>5</v>
      </c>
      <c r="D388" s="195">
        <v>5</v>
      </c>
      <c r="E388" s="195">
        <v>5</v>
      </c>
      <c r="F388" s="195">
        <v>5</v>
      </c>
      <c r="G388" s="195">
        <v>5</v>
      </c>
      <c r="H388" s="195">
        <v>5</v>
      </c>
      <c r="I388" s="195">
        <v>4</v>
      </c>
      <c r="J388" s="195">
        <v>5</v>
      </c>
      <c r="K388" s="195">
        <v>4</v>
      </c>
      <c r="L388" s="195">
        <v>3</v>
      </c>
      <c r="M388" s="196">
        <v>4</v>
      </c>
    </row>
    <row r="389" spans="1:13" x14ac:dyDescent="0.25">
      <c r="A389" s="194">
        <v>388</v>
      </c>
      <c r="B389" s="195">
        <v>5</v>
      </c>
      <c r="C389" s="195">
        <v>5</v>
      </c>
      <c r="D389" s="195">
        <v>5</v>
      </c>
      <c r="E389" s="195">
        <v>5</v>
      </c>
      <c r="F389" s="195">
        <v>5</v>
      </c>
      <c r="G389" s="195">
        <v>5</v>
      </c>
      <c r="H389" s="195">
        <v>4</v>
      </c>
      <c r="I389" s="195">
        <v>4</v>
      </c>
      <c r="J389" s="195">
        <v>5</v>
      </c>
      <c r="K389" s="195">
        <v>4</v>
      </c>
      <c r="L389" s="195">
        <v>4</v>
      </c>
      <c r="M389" s="196">
        <v>4</v>
      </c>
    </row>
    <row r="390" spans="1:13" x14ac:dyDescent="0.25">
      <c r="A390" s="194">
        <v>389</v>
      </c>
      <c r="B390" s="195">
        <v>5</v>
      </c>
      <c r="C390" s="195">
        <v>4</v>
      </c>
      <c r="D390" s="195">
        <v>4</v>
      </c>
      <c r="E390" s="195">
        <v>5</v>
      </c>
      <c r="F390" s="195">
        <v>5</v>
      </c>
      <c r="G390" s="195">
        <v>4</v>
      </c>
      <c r="H390" s="195">
        <v>4</v>
      </c>
      <c r="I390" s="195">
        <v>4</v>
      </c>
      <c r="J390" s="195">
        <v>4</v>
      </c>
      <c r="K390" s="195">
        <v>5</v>
      </c>
      <c r="L390" s="195">
        <v>4</v>
      </c>
      <c r="M390" s="196">
        <v>4</v>
      </c>
    </row>
    <row r="391" spans="1:13" x14ac:dyDescent="0.25">
      <c r="A391" s="194">
        <v>390</v>
      </c>
      <c r="B391" s="195">
        <v>5</v>
      </c>
      <c r="C391" s="195">
        <v>5</v>
      </c>
      <c r="D391" s="195">
        <v>5</v>
      </c>
      <c r="E391" s="195">
        <v>5</v>
      </c>
      <c r="F391" s="195">
        <v>5</v>
      </c>
      <c r="G391" s="195">
        <v>5</v>
      </c>
      <c r="H391" s="195">
        <v>5</v>
      </c>
      <c r="I391" s="195">
        <v>5</v>
      </c>
      <c r="J391" s="195">
        <v>5</v>
      </c>
      <c r="K391" s="195">
        <v>5</v>
      </c>
      <c r="L391" s="195">
        <v>5</v>
      </c>
      <c r="M391" s="196">
        <v>4</v>
      </c>
    </row>
    <row r="392" spans="1:13" x14ac:dyDescent="0.25">
      <c r="A392" s="194">
        <v>391</v>
      </c>
      <c r="B392" s="195">
        <v>5</v>
      </c>
      <c r="C392" s="195">
        <v>5</v>
      </c>
      <c r="D392" s="195">
        <v>5</v>
      </c>
      <c r="E392" s="195">
        <v>5</v>
      </c>
      <c r="F392" s="195">
        <v>5</v>
      </c>
      <c r="G392" s="195">
        <v>5</v>
      </c>
      <c r="H392" s="195">
        <v>5</v>
      </c>
      <c r="I392" s="195">
        <v>5</v>
      </c>
      <c r="J392" s="195">
        <v>5</v>
      </c>
      <c r="K392" s="195">
        <v>5</v>
      </c>
      <c r="L392" s="195">
        <v>4</v>
      </c>
      <c r="M392" s="196">
        <v>4</v>
      </c>
    </row>
    <row r="393" spans="1:13" x14ac:dyDescent="0.25">
      <c r="A393" s="194">
        <v>392</v>
      </c>
      <c r="B393" s="195">
        <v>5</v>
      </c>
      <c r="C393" s="195">
        <v>4</v>
      </c>
      <c r="D393" s="195">
        <v>4</v>
      </c>
      <c r="E393" s="195">
        <v>5</v>
      </c>
      <c r="F393" s="195">
        <v>5</v>
      </c>
      <c r="G393" s="195">
        <v>4</v>
      </c>
      <c r="H393" s="195">
        <v>5</v>
      </c>
      <c r="I393" s="195">
        <v>5</v>
      </c>
      <c r="J393" s="195">
        <v>5</v>
      </c>
      <c r="K393" s="195">
        <v>5</v>
      </c>
      <c r="L393" s="195">
        <v>5</v>
      </c>
      <c r="M393" s="196">
        <v>4</v>
      </c>
    </row>
    <row r="394" spans="1:13" x14ac:dyDescent="0.25">
      <c r="A394" s="194">
        <v>393</v>
      </c>
      <c r="B394" s="195">
        <v>5</v>
      </c>
      <c r="C394" s="195">
        <v>5</v>
      </c>
      <c r="D394" s="195">
        <v>5</v>
      </c>
      <c r="E394" s="195">
        <v>5</v>
      </c>
      <c r="F394" s="195">
        <v>5</v>
      </c>
      <c r="G394" s="195">
        <v>5</v>
      </c>
      <c r="H394" s="195">
        <v>5</v>
      </c>
      <c r="I394" s="195">
        <v>5</v>
      </c>
      <c r="J394" s="195">
        <v>5</v>
      </c>
      <c r="K394" s="195">
        <v>5</v>
      </c>
      <c r="L394" s="195">
        <v>4</v>
      </c>
      <c r="M394" s="196">
        <v>4</v>
      </c>
    </row>
    <row r="395" spans="1:13" x14ac:dyDescent="0.25">
      <c r="A395" s="194">
        <v>394</v>
      </c>
      <c r="B395" s="195">
        <v>5</v>
      </c>
      <c r="C395" s="195">
        <v>5</v>
      </c>
      <c r="D395" s="195">
        <v>4</v>
      </c>
      <c r="E395" s="195">
        <v>1</v>
      </c>
      <c r="F395" s="195">
        <v>4</v>
      </c>
      <c r="G395" s="195">
        <v>4</v>
      </c>
      <c r="H395" s="195">
        <v>5</v>
      </c>
      <c r="I395" s="195">
        <v>5</v>
      </c>
      <c r="J395" s="195">
        <v>5</v>
      </c>
      <c r="K395" s="195">
        <v>5</v>
      </c>
      <c r="L395" s="195">
        <v>1</v>
      </c>
      <c r="M395" s="196">
        <v>4</v>
      </c>
    </row>
    <row r="396" spans="1:13" x14ac:dyDescent="0.25">
      <c r="A396" s="194">
        <v>395</v>
      </c>
      <c r="B396" s="195">
        <v>5</v>
      </c>
      <c r="C396" s="195">
        <v>5</v>
      </c>
      <c r="D396" s="195">
        <v>5</v>
      </c>
      <c r="E396" s="195">
        <v>5</v>
      </c>
      <c r="F396" s="195">
        <v>5</v>
      </c>
      <c r="G396" s="195">
        <v>5</v>
      </c>
      <c r="H396" s="195">
        <v>5</v>
      </c>
      <c r="I396" s="195">
        <v>5</v>
      </c>
      <c r="J396" s="195">
        <v>5</v>
      </c>
      <c r="K396" s="195">
        <v>5</v>
      </c>
      <c r="L396" s="195">
        <v>5</v>
      </c>
      <c r="M396" s="196">
        <v>4</v>
      </c>
    </row>
    <row r="397" spans="1:13" x14ac:dyDescent="0.25">
      <c r="A397" s="194">
        <v>396</v>
      </c>
      <c r="B397" s="195">
        <v>5</v>
      </c>
      <c r="C397" s="195">
        <v>4</v>
      </c>
      <c r="D397" s="195">
        <v>4</v>
      </c>
      <c r="E397" s="195">
        <v>1</v>
      </c>
      <c r="F397" s="195">
        <v>3</v>
      </c>
      <c r="G397" s="195">
        <v>5</v>
      </c>
      <c r="H397" s="195">
        <v>3</v>
      </c>
      <c r="I397" s="195">
        <v>4</v>
      </c>
      <c r="J397" s="195">
        <v>4</v>
      </c>
      <c r="K397" s="195">
        <v>4</v>
      </c>
      <c r="L397" s="195">
        <v>3</v>
      </c>
      <c r="M397" s="196">
        <v>4</v>
      </c>
    </row>
    <row r="398" spans="1:13" x14ac:dyDescent="0.25">
      <c r="A398" s="194">
        <v>397</v>
      </c>
      <c r="B398" s="195">
        <v>5</v>
      </c>
      <c r="C398" s="195">
        <v>5</v>
      </c>
      <c r="D398" s="195">
        <v>5</v>
      </c>
      <c r="E398" s="195">
        <v>2</v>
      </c>
      <c r="F398" s="195">
        <v>5</v>
      </c>
      <c r="G398" s="195">
        <v>5</v>
      </c>
      <c r="H398" s="195">
        <v>1</v>
      </c>
      <c r="I398" s="195">
        <v>5</v>
      </c>
      <c r="J398" s="195">
        <v>5</v>
      </c>
      <c r="K398" s="195">
        <v>3</v>
      </c>
      <c r="L398" s="195">
        <v>4</v>
      </c>
      <c r="M398" s="196">
        <v>4</v>
      </c>
    </row>
    <row r="399" spans="1:13" x14ac:dyDescent="0.25">
      <c r="A399" s="194">
        <v>398</v>
      </c>
      <c r="B399" s="195">
        <v>5</v>
      </c>
      <c r="C399" s="195">
        <v>5</v>
      </c>
      <c r="D399" s="195">
        <v>5</v>
      </c>
      <c r="E399" s="195">
        <v>1</v>
      </c>
      <c r="F399" s="195">
        <v>5</v>
      </c>
      <c r="G399" s="195">
        <v>5</v>
      </c>
      <c r="H399" s="195">
        <v>4</v>
      </c>
      <c r="I399" s="195">
        <v>5</v>
      </c>
      <c r="J399" s="195">
        <v>5</v>
      </c>
      <c r="K399" s="195">
        <v>5</v>
      </c>
      <c r="L399" s="195">
        <v>4</v>
      </c>
      <c r="M399" s="196">
        <v>4</v>
      </c>
    </row>
    <row r="400" spans="1:13" x14ac:dyDescent="0.25">
      <c r="A400" s="194">
        <v>399</v>
      </c>
      <c r="B400" s="195">
        <v>5</v>
      </c>
      <c r="C400" s="195">
        <v>5</v>
      </c>
      <c r="D400" s="195">
        <v>5</v>
      </c>
      <c r="E400" s="195">
        <v>5</v>
      </c>
      <c r="F400" s="195">
        <v>5</v>
      </c>
      <c r="G400" s="195">
        <v>5</v>
      </c>
      <c r="H400" s="195">
        <v>4</v>
      </c>
      <c r="I400" s="195">
        <v>5</v>
      </c>
      <c r="J400" s="195">
        <v>5</v>
      </c>
      <c r="K400" s="195">
        <v>5</v>
      </c>
      <c r="L400" s="195">
        <v>4</v>
      </c>
      <c r="M400" s="196">
        <v>4</v>
      </c>
    </row>
    <row r="401" spans="1:13" x14ac:dyDescent="0.25">
      <c r="A401" s="194">
        <v>400</v>
      </c>
      <c r="B401" s="195">
        <v>5</v>
      </c>
      <c r="C401" s="195">
        <v>5</v>
      </c>
      <c r="D401" s="195">
        <v>4</v>
      </c>
      <c r="E401" s="195">
        <v>4</v>
      </c>
      <c r="F401" s="195">
        <v>5</v>
      </c>
      <c r="G401" s="195">
        <v>4</v>
      </c>
      <c r="H401" s="195">
        <v>3</v>
      </c>
      <c r="I401" s="195">
        <v>5</v>
      </c>
      <c r="J401" s="195">
        <v>5</v>
      </c>
      <c r="K401" s="195">
        <v>5</v>
      </c>
      <c r="L401" s="195">
        <v>5</v>
      </c>
      <c r="M401" s="196">
        <v>4</v>
      </c>
    </row>
    <row r="402" spans="1:13" x14ac:dyDescent="0.25">
      <c r="A402" s="194">
        <v>401</v>
      </c>
      <c r="B402" s="195">
        <v>5</v>
      </c>
      <c r="C402" s="195">
        <v>5</v>
      </c>
      <c r="D402" s="195">
        <v>4</v>
      </c>
      <c r="E402" s="195">
        <v>5</v>
      </c>
      <c r="F402" s="195">
        <v>5</v>
      </c>
      <c r="G402" s="195">
        <v>4</v>
      </c>
      <c r="H402" s="195">
        <v>4</v>
      </c>
      <c r="I402" s="195">
        <v>5</v>
      </c>
      <c r="J402" s="195">
        <v>5</v>
      </c>
      <c r="K402" s="195">
        <v>5</v>
      </c>
      <c r="L402" s="195">
        <v>5</v>
      </c>
      <c r="M402" s="196">
        <v>4</v>
      </c>
    </row>
    <row r="403" spans="1:13" x14ac:dyDescent="0.25">
      <c r="A403" s="194">
        <v>402</v>
      </c>
      <c r="B403" s="195">
        <v>5</v>
      </c>
      <c r="C403" s="195">
        <v>5</v>
      </c>
      <c r="D403" s="195">
        <v>5</v>
      </c>
      <c r="E403" s="195">
        <v>3</v>
      </c>
      <c r="F403" s="195">
        <v>5</v>
      </c>
      <c r="G403" s="195">
        <v>3</v>
      </c>
      <c r="H403" s="195">
        <v>3</v>
      </c>
      <c r="I403" s="195">
        <v>3</v>
      </c>
      <c r="J403" s="195">
        <v>4</v>
      </c>
      <c r="K403" s="195">
        <v>4</v>
      </c>
      <c r="L403" s="195">
        <v>4</v>
      </c>
      <c r="M403" s="196">
        <v>4</v>
      </c>
    </row>
    <row r="404" spans="1:13" x14ac:dyDescent="0.25">
      <c r="A404" s="194">
        <v>403</v>
      </c>
      <c r="B404" s="195">
        <v>5</v>
      </c>
      <c r="C404" s="195">
        <v>4</v>
      </c>
      <c r="D404" s="195">
        <v>5</v>
      </c>
      <c r="E404" s="195">
        <v>5</v>
      </c>
      <c r="F404" s="195">
        <v>4</v>
      </c>
      <c r="G404" s="195">
        <v>4</v>
      </c>
      <c r="H404" s="195">
        <v>4</v>
      </c>
      <c r="I404" s="195">
        <v>3</v>
      </c>
      <c r="J404" s="195">
        <v>4</v>
      </c>
      <c r="K404" s="195">
        <v>4</v>
      </c>
      <c r="L404" s="195">
        <v>5</v>
      </c>
      <c r="M404" s="196">
        <v>4</v>
      </c>
    </row>
    <row r="405" spans="1:13" x14ac:dyDescent="0.25">
      <c r="A405" s="194">
        <v>404</v>
      </c>
      <c r="B405" s="195">
        <v>5</v>
      </c>
      <c r="C405" s="195">
        <v>5</v>
      </c>
      <c r="D405" s="195">
        <v>5</v>
      </c>
      <c r="E405" s="195">
        <v>5</v>
      </c>
      <c r="F405" s="195">
        <v>5</v>
      </c>
      <c r="G405" s="195">
        <v>5</v>
      </c>
      <c r="H405" s="195">
        <v>5</v>
      </c>
      <c r="I405" s="195">
        <v>5</v>
      </c>
      <c r="J405" s="195">
        <v>5</v>
      </c>
      <c r="K405" s="195">
        <v>5</v>
      </c>
      <c r="L405" s="195">
        <v>4</v>
      </c>
      <c r="M405" s="196">
        <v>4</v>
      </c>
    </row>
    <row r="406" spans="1:13" x14ac:dyDescent="0.25">
      <c r="A406" s="194">
        <v>405</v>
      </c>
      <c r="B406" s="195">
        <v>5</v>
      </c>
      <c r="C406" s="195">
        <v>4</v>
      </c>
      <c r="D406" s="195">
        <v>4</v>
      </c>
      <c r="E406" s="195">
        <v>5</v>
      </c>
      <c r="F406" s="195">
        <v>5</v>
      </c>
      <c r="G406" s="195">
        <v>5</v>
      </c>
      <c r="H406" s="195">
        <v>5</v>
      </c>
      <c r="I406" s="195">
        <v>5</v>
      </c>
      <c r="J406" s="195">
        <v>5</v>
      </c>
      <c r="K406" s="195">
        <v>5</v>
      </c>
      <c r="L406" s="195">
        <v>5</v>
      </c>
      <c r="M406" s="196">
        <v>4</v>
      </c>
    </row>
    <row r="407" spans="1:13" x14ac:dyDescent="0.25">
      <c r="A407" s="194">
        <v>406</v>
      </c>
      <c r="B407" s="195">
        <v>5</v>
      </c>
      <c r="C407" s="195">
        <v>5</v>
      </c>
      <c r="D407" s="195">
        <v>4</v>
      </c>
      <c r="E407" s="195">
        <v>5</v>
      </c>
      <c r="F407" s="195">
        <v>5</v>
      </c>
      <c r="G407" s="195">
        <v>5</v>
      </c>
      <c r="H407" s="195">
        <v>5</v>
      </c>
      <c r="I407" s="195">
        <v>5</v>
      </c>
      <c r="J407" s="195">
        <v>5</v>
      </c>
      <c r="K407" s="195">
        <v>4</v>
      </c>
      <c r="L407" s="195">
        <v>5</v>
      </c>
      <c r="M407" s="196">
        <v>4</v>
      </c>
    </row>
    <row r="408" spans="1:13" x14ac:dyDescent="0.25">
      <c r="A408" s="194">
        <v>407</v>
      </c>
      <c r="B408" s="195">
        <v>5</v>
      </c>
      <c r="C408" s="195">
        <v>4</v>
      </c>
      <c r="D408" s="195">
        <v>4</v>
      </c>
      <c r="E408" s="195">
        <v>5</v>
      </c>
      <c r="F408" s="195">
        <v>5</v>
      </c>
      <c r="G408" s="195">
        <v>5</v>
      </c>
      <c r="H408" s="195">
        <v>5</v>
      </c>
      <c r="I408" s="195">
        <v>5</v>
      </c>
      <c r="J408" s="195">
        <v>5</v>
      </c>
      <c r="K408" s="195">
        <v>5</v>
      </c>
      <c r="L408" s="195">
        <v>4</v>
      </c>
      <c r="M408" s="196">
        <v>4</v>
      </c>
    </row>
    <row r="409" spans="1:13" x14ac:dyDescent="0.25">
      <c r="A409" s="194">
        <v>408</v>
      </c>
      <c r="B409" s="195">
        <v>5</v>
      </c>
      <c r="C409" s="195">
        <v>5</v>
      </c>
      <c r="D409" s="195">
        <v>5</v>
      </c>
      <c r="E409" s="195">
        <v>5</v>
      </c>
      <c r="F409" s="195">
        <v>5</v>
      </c>
      <c r="G409" s="195">
        <v>4</v>
      </c>
      <c r="H409" s="195">
        <v>3</v>
      </c>
      <c r="I409" s="195">
        <v>5</v>
      </c>
      <c r="J409" s="195">
        <v>5</v>
      </c>
      <c r="K409" s="195">
        <v>5</v>
      </c>
      <c r="L409" s="195">
        <v>2</v>
      </c>
      <c r="M409" s="196">
        <v>4</v>
      </c>
    </row>
    <row r="410" spans="1:13" x14ac:dyDescent="0.25">
      <c r="A410" s="194">
        <v>409</v>
      </c>
      <c r="B410" s="195">
        <v>5</v>
      </c>
      <c r="C410" s="195">
        <v>5</v>
      </c>
      <c r="D410" s="195">
        <v>5</v>
      </c>
      <c r="E410" s="195">
        <v>3</v>
      </c>
      <c r="F410" s="195">
        <v>5</v>
      </c>
      <c r="G410" s="195">
        <v>4</v>
      </c>
      <c r="H410" s="195">
        <v>3</v>
      </c>
      <c r="I410" s="195">
        <v>4</v>
      </c>
      <c r="J410" s="195">
        <v>5</v>
      </c>
      <c r="K410" s="195">
        <v>5</v>
      </c>
      <c r="L410" s="195">
        <v>5</v>
      </c>
      <c r="M410" s="196">
        <v>4</v>
      </c>
    </row>
    <row r="411" spans="1:13" x14ac:dyDescent="0.25">
      <c r="A411" s="194">
        <v>410</v>
      </c>
      <c r="B411" s="195">
        <v>5</v>
      </c>
      <c r="C411" s="195">
        <v>5</v>
      </c>
      <c r="D411" s="195">
        <v>5</v>
      </c>
      <c r="E411" s="195">
        <v>5</v>
      </c>
      <c r="F411" s="195">
        <v>5</v>
      </c>
      <c r="G411" s="195">
        <v>5</v>
      </c>
      <c r="H411" s="195">
        <v>5</v>
      </c>
      <c r="I411" s="195">
        <v>5</v>
      </c>
      <c r="J411" s="195">
        <v>5</v>
      </c>
      <c r="K411" s="195">
        <v>5</v>
      </c>
      <c r="L411" s="195">
        <v>5</v>
      </c>
      <c r="M411" s="196">
        <v>4</v>
      </c>
    </row>
    <row r="412" spans="1:13" x14ac:dyDescent="0.25">
      <c r="A412" s="194">
        <v>411</v>
      </c>
      <c r="B412" s="195">
        <v>5</v>
      </c>
      <c r="C412" s="195">
        <v>5</v>
      </c>
      <c r="D412" s="195">
        <v>5</v>
      </c>
      <c r="E412" s="195">
        <v>4</v>
      </c>
      <c r="F412" s="195">
        <v>5</v>
      </c>
      <c r="G412" s="195">
        <v>4</v>
      </c>
      <c r="H412" s="195">
        <v>4</v>
      </c>
      <c r="I412" s="195">
        <v>4</v>
      </c>
      <c r="J412" s="195">
        <v>5</v>
      </c>
      <c r="K412" s="195">
        <v>5</v>
      </c>
      <c r="L412" s="195">
        <v>5</v>
      </c>
      <c r="M412" s="196">
        <v>4</v>
      </c>
    </row>
    <row r="413" spans="1:13" x14ac:dyDescent="0.25">
      <c r="A413" s="194">
        <v>412</v>
      </c>
      <c r="B413" s="195">
        <v>5</v>
      </c>
      <c r="C413" s="195">
        <v>5</v>
      </c>
      <c r="D413" s="195">
        <v>5</v>
      </c>
      <c r="E413" s="195">
        <v>5</v>
      </c>
      <c r="F413" s="195">
        <v>5</v>
      </c>
      <c r="G413" s="195">
        <v>5</v>
      </c>
      <c r="H413" s="195">
        <v>5</v>
      </c>
      <c r="I413" s="195">
        <v>2</v>
      </c>
      <c r="J413" s="195">
        <v>4</v>
      </c>
      <c r="K413" s="195">
        <v>3</v>
      </c>
      <c r="L413" s="195">
        <v>3</v>
      </c>
      <c r="M413" s="196">
        <v>4</v>
      </c>
    </row>
    <row r="414" spans="1:13" x14ac:dyDescent="0.25">
      <c r="A414" s="194">
        <v>413</v>
      </c>
      <c r="B414" s="195">
        <v>5</v>
      </c>
      <c r="C414" s="195">
        <v>5</v>
      </c>
      <c r="D414" s="195">
        <v>5</v>
      </c>
      <c r="E414" s="195">
        <v>5</v>
      </c>
      <c r="F414" s="195">
        <v>5</v>
      </c>
      <c r="G414" s="195">
        <v>5</v>
      </c>
      <c r="H414" s="195">
        <v>5</v>
      </c>
      <c r="I414" s="195">
        <v>5</v>
      </c>
      <c r="J414" s="195">
        <v>5</v>
      </c>
      <c r="K414" s="195">
        <v>5</v>
      </c>
      <c r="L414" s="195">
        <v>4</v>
      </c>
      <c r="M414" s="196">
        <v>4</v>
      </c>
    </row>
    <row r="415" spans="1:13" x14ac:dyDescent="0.25">
      <c r="A415" s="194">
        <v>414</v>
      </c>
      <c r="B415" s="195">
        <v>5</v>
      </c>
      <c r="C415" s="195">
        <v>5</v>
      </c>
      <c r="D415" s="195">
        <v>4</v>
      </c>
      <c r="E415" s="195">
        <v>5</v>
      </c>
      <c r="F415" s="195">
        <v>5</v>
      </c>
      <c r="G415" s="195">
        <v>5</v>
      </c>
      <c r="H415" s="195">
        <v>5</v>
      </c>
      <c r="I415" s="195">
        <v>5</v>
      </c>
      <c r="J415" s="195">
        <v>5</v>
      </c>
      <c r="K415" s="195">
        <v>5</v>
      </c>
      <c r="L415" s="195">
        <v>5</v>
      </c>
      <c r="M415" s="196">
        <v>4</v>
      </c>
    </row>
    <row r="416" spans="1:13" x14ac:dyDescent="0.25">
      <c r="A416" s="194">
        <v>415</v>
      </c>
      <c r="B416" s="195">
        <v>5</v>
      </c>
      <c r="C416" s="195">
        <v>4</v>
      </c>
      <c r="D416" s="195">
        <v>4</v>
      </c>
      <c r="E416" s="195">
        <v>5</v>
      </c>
      <c r="F416" s="195">
        <v>5</v>
      </c>
      <c r="G416" s="195">
        <v>5</v>
      </c>
      <c r="H416" s="195">
        <v>5</v>
      </c>
      <c r="I416" s="195">
        <v>4</v>
      </c>
      <c r="J416" s="195">
        <v>5</v>
      </c>
      <c r="K416" s="195">
        <v>4</v>
      </c>
      <c r="L416" s="195">
        <v>4</v>
      </c>
      <c r="M416" s="196">
        <v>4</v>
      </c>
    </row>
    <row r="417" spans="1:13" x14ac:dyDescent="0.25">
      <c r="A417" s="194">
        <v>416</v>
      </c>
      <c r="B417" s="195">
        <v>5</v>
      </c>
      <c r="C417" s="195">
        <v>5</v>
      </c>
      <c r="D417" s="195">
        <v>5</v>
      </c>
      <c r="E417" s="195">
        <v>5</v>
      </c>
      <c r="F417" s="195">
        <v>5</v>
      </c>
      <c r="G417" s="195">
        <v>5</v>
      </c>
      <c r="H417" s="195">
        <v>5</v>
      </c>
      <c r="I417" s="195">
        <v>5</v>
      </c>
      <c r="J417" s="195">
        <v>5</v>
      </c>
      <c r="K417" s="195">
        <v>5</v>
      </c>
      <c r="L417" s="195">
        <v>4</v>
      </c>
      <c r="M417" s="196">
        <v>4</v>
      </c>
    </row>
    <row r="418" spans="1:13" x14ac:dyDescent="0.25">
      <c r="A418" s="194">
        <v>417</v>
      </c>
      <c r="B418" s="195">
        <v>5</v>
      </c>
      <c r="C418" s="195">
        <v>4</v>
      </c>
      <c r="D418" s="195">
        <v>4</v>
      </c>
      <c r="E418" s="195">
        <v>4</v>
      </c>
      <c r="F418" s="195">
        <v>5</v>
      </c>
      <c r="G418" s="195">
        <v>4</v>
      </c>
      <c r="H418" s="195">
        <v>5</v>
      </c>
      <c r="I418" s="195">
        <v>4</v>
      </c>
      <c r="J418" s="195">
        <v>4</v>
      </c>
      <c r="K418" s="195">
        <v>4</v>
      </c>
      <c r="L418" s="195">
        <v>3</v>
      </c>
      <c r="M418" s="196">
        <v>4</v>
      </c>
    </row>
    <row r="419" spans="1:13" x14ac:dyDescent="0.25">
      <c r="A419" s="194">
        <v>418</v>
      </c>
      <c r="B419" s="195">
        <v>5</v>
      </c>
      <c r="C419" s="195">
        <v>5</v>
      </c>
      <c r="D419" s="195">
        <v>5</v>
      </c>
      <c r="E419" s="195">
        <v>5</v>
      </c>
      <c r="F419" s="195">
        <v>5</v>
      </c>
      <c r="G419" s="195">
        <v>5</v>
      </c>
      <c r="H419" s="195">
        <v>5</v>
      </c>
      <c r="I419" s="195">
        <v>5</v>
      </c>
      <c r="J419" s="195">
        <v>5</v>
      </c>
      <c r="K419" s="195">
        <v>5</v>
      </c>
      <c r="L419" s="195">
        <v>5</v>
      </c>
      <c r="M419" s="196">
        <v>4</v>
      </c>
    </row>
    <row r="420" spans="1:13" x14ac:dyDescent="0.25">
      <c r="A420" s="194">
        <v>419</v>
      </c>
      <c r="B420" s="195">
        <v>5</v>
      </c>
      <c r="C420" s="195">
        <v>5</v>
      </c>
      <c r="D420" s="195">
        <v>5</v>
      </c>
      <c r="E420" s="195">
        <v>5</v>
      </c>
      <c r="F420" s="195">
        <v>5</v>
      </c>
      <c r="G420" s="195">
        <v>5</v>
      </c>
      <c r="H420" s="195">
        <v>5</v>
      </c>
      <c r="I420" s="195">
        <v>5</v>
      </c>
      <c r="J420" s="195">
        <v>5</v>
      </c>
      <c r="K420" s="195">
        <v>5</v>
      </c>
      <c r="L420" s="195">
        <v>4</v>
      </c>
      <c r="M420" s="196">
        <v>4</v>
      </c>
    </row>
    <row r="421" spans="1:13" x14ac:dyDescent="0.25">
      <c r="A421" s="194">
        <v>420</v>
      </c>
      <c r="B421" s="195">
        <v>5</v>
      </c>
      <c r="C421" s="195">
        <v>5</v>
      </c>
      <c r="D421" s="195">
        <v>5</v>
      </c>
      <c r="E421" s="195">
        <v>5</v>
      </c>
      <c r="F421" s="195">
        <v>5</v>
      </c>
      <c r="G421" s="195">
        <v>4</v>
      </c>
      <c r="H421" s="195">
        <v>5</v>
      </c>
      <c r="I421" s="195">
        <v>5</v>
      </c>
      <c r="J421" s="195">
        <v>5</v>
      </c>
      <c r="K421" s="195">
        <v>5</v>
      </c>
      <c r="L421" s="195">
        <v>5</v>
      </c>
      <c r="M421" s="196">
        <v>4</v>
      </c>
    </row>
    <row r="422" spans="1:13" x14ac:dyDescent="0.25">
      <c r="A422" s="194">
        <v>421</v>
      </c>
      <c r="B422" s="195">
        <v>5</v>
      </c>
      <c r="C422" s="195">
        <v>4</v>
      </c>
      <c r="D422" s="195">
        <v>4</v>
      </c>
      <c r="E422" s="195">
        <v>5</v>
      </c>
      <c r="F422" s="195">
        <v>5</v>
      </c>
      <c r="G422" s="195">
        <v>4</v>
      </c>
      <c r="H422" s="195">
        <v>4</v>
      </c>
      <c r="I422" s="195">
        <v>5</v>
      </c>
      <c r="J422" s="195">
        <v>5</v>
      </c>
      <c r="K422" s="195">
        <v>4</v>
      </c>
      <c r="L422" s="195">
        <v>4</v>
      </c>
      <c r="M422" s="196">
        <v>4</v>
      </c>
    </row>
    <row r="423" spans="1:13" x14ac:dyDescent="0.25">
      <c r="A423" s="194">
        <v>422</v>
      </c>
      <c r="B423" s="195">
        <v>5</v>
      </c>
      <c r="C423" s="195">
        <v>5</v>
      </c>
      <c r="D423" s="195">
        <v>4</v>
      </c>
      <c r="E423" s="195">
        <v>2</v>
      </c>
      <c r="F423" s="195">
        <v>3</v>
      </c>
      <c r="G423" s="195">
        <v>1</v>
      </c>
      <c r="H423" s="195">
        <v>3</v>
      </c>
      <c r="I423" s="195">
        <v>2</v>
      </c>
      <c r="J423" s="195">
        <v>5</v>
      </c>
      <c r="K423" s="195">
        <v>4</v>
      </c>
      <c r="L423" s="195">
        <v>4</v>
      </c>
      <c r="M423" s="196">
        <v>4</v>
      </c>
    </row>
    <row r="424" spans="1:13" x14ac:dyDescent="0.25">
      <c r="A424" s="194">
        <v>423</v>
      </c>
      <c r="B424" s="195">
        <v>5</v>
      </c>
      <c r="C424" s="195">
        <v>5</v>
      </c>
      <c r="D424" s="195">
        <v>5</v>
      </c>
      <c r="E424" s="195">
        <v>5</v>
      </c>
      <c r="F424" s="195">
        <v>5</v>
      </c>
      <c r="G424" s="195">
        <v>5</v>
      </c>
      <c r="H424" s="195">
        <v>5</v>
      </c>
      <c r="I424" s="195">
        <v>5</v>
      </c>
      <c r="J424" s="195">
        <v>5</v>
      </c>
      <c r="K424" s="195">
        <v>5</v>
      </c>
      <c r="L424" s="195">
        <v>4</v>
      </c>
      <c r="M424" s="196">
        <v>4</v>
      </c>
    </row>
    <row r="425" spans="1:13" x14ac:dyDescent="0.25">
      <c r="A425" s="194">
        <v>424</v>
      </c>
      <c r="B425" s="195">
        <v>5</v>
      </c>
      <c r="C425" s="195">
        <v>5</v>
      </c>
      <c r="D425" s="195">
        <v>5</v>
      </c>
      <c r="E425" s="195">
        <v>5</v>
      </c>
      <c r="F425" s="195">
        <v>5</v>
      </c>
      <c r="G425" s="195">
        <v>5</v>
      </c>
      <c r="H425" s="195">
        <v>4</v>
      </c>
      <c r="I425" s="195">
        <v>3</v>
      </c>
      <c r="J425" s="195">
        <v>5</v>
      </c>
      <c r="K425" s="195">
        <v>5</v>
      </c>
      <c r="L425" s="195">
        <v>4</v>
      </c>
      <c r="M425" s="196">
        <v>4</v>
      </c>
    </row>
    <row r="426" spans="1:13" x14ac:dyDescent="0.25">
      <c r="A426" s="194">
        <v>425</v>
      </c>
      <c r="B426" s="195">
        <v>5</v>
      </c>
      <c r="C426" s="195">
        <v>4</v>
      </c>
      <c r="D426" s="195">
        <v>4</v>
      </c>
      <c r="E426" s="195">
        <v>3</v>
      </c>
      <c r="F426" s="195">
        <v>5</v>
      </c>
      <c r="G426" s="195">
        <v>3</v>
      </c>
      <c r="H426" s="195">
        <v>3</v>
      </c>
      <c r="I426" s="195">
        <v>4</v>
      </c>
      <c r="J426" s="195">
        <v>4</v>
      </c>
      <c r="K426" s="195">
        <v>4</v>
      </c>
      <c r="L426" s="195">
        <v>4</v>
      </c>
      <c r="M426" s="196">
        <v>4</v>
      </c>
    </row>
    <row r="427" spans="1:13" x14ac:dyDescent="0.25">
      <c r="A427" s="194">
        <v>426</v>
      </c>
      <c r="B427" s="195">
        <v>5</v>
      </c>
      <c r="C427" s="195">
        <v>4</v>
      </c>
      <c r="D427" s="195">
        <v>4</v>
      </c>
      <c r="E427" s="195">
        <v>5</v>
      </c>
      <c r="F427" s="195">
        <v>5</v>
      </c>
      <c r="G427" s="195">
        <v>5</v>
      </c>
      <c r="H427" s="195">
        <v>5</v>
      </c>
      <c r="I427" s="195">
        <v>5</v>
      </c>
      <c r="J427" s="195">
        <v>5</v>
      </c>
      <c r="K427" s="195">
        <v>5</v>
      </c>
      <c r="L427" s="195">
        <v>4</v>
      </c>
      <c r="M427" s="196">
        <v>4</v>
      </c>
    </row>
    <row r="428" spans="1:13" x14ac:dyDescent="0.25">
      <c r="A428" s="194">
        <v>427</v>
      </c>
      <c r="B428" s="195">
        <v>5</v>
      </c>
      <c r="C428" s="195">
        <v>5</v>
      </c>
      <c r="D428" s="195">
        <v>5</v>
      </c>
      <c r="E428" s="195">
        <v>5</v>
      </c>
      <c r="F428" s="195">
        <v>5</v>
      </c>
      <c r="G428" s="195">
        <v>5</v>
      </c>
      <c r="H428" s="195">
        <v>5</v>
      </c>
      <c r="I428" s="195">
        <v>5</v>
      </c>
      <c r="J428" s="195">
        <v>5</v>
      </c>
      <c r="K428" s="195">
        <v>5</v>
      </c>
      <c r="L428" s="195">
        <v>4</v>
      </c>
      <c r="M428" s="196">
        <v>4</v>
      </c>
    </row>
    <row r="429" spans="1:13" x14ac:dyDescent="0.25">
      <c r="A429" s="194">
        <v>428</v>
      </c>
      <c r="B429" s="195">
        <v>5</v>
      </c>
      <c r="C429" s="195">
        <v>5</v>
      </c>
      <c r="D429" s="195">
        <v>5</v>
      </c>
      <c r="E429" s="195">
        <v>5</v>
      </c>
      <c r="F429" s="195">
        <v>5</v>
      </c>
      <c r="G429" s="195">
        <v>5</v>
      </c>
      <c r="H429" s="195">
        <v>5</v>
      </c>
      <c r="I429" s="195">
        <v>5</v>
      </c>
      <c r="J429" s="195">
        <v>5</v>
      </c>
      <c r="K429" s="195">
        <v>5</v>
      </c>
      <c r="L429" s="195">
        <v>4</v>
      </c>
      <c r="M429" s="196">
        <v>4</v>
      </c>
    </row>
    <row r="430" spans="1:13" x14ac:dyDescent="0.25">
      <c r="A430" s="194">
        <v>429</v>
      </c>
      <c r="B430" s="195">
        <v>4</v>
      </c>
      <c r="C430" s="195">
        <v>5</v>
      </c>
      <c r="D430" s="195">
        <v>5</v>
      </c>
      <c r="E430" s="195">
        <v>5</v>
      </c>
      <c r="F430" s="195">
        <v>5</v>
      </c>
      <c r="G430" s="195">
        <v>4</v>
      </c>
      <c r="H430" s="195">
        <v>5</v>
      </c>
      <c r="I430" s="195">
        <v>5</v>
      </c>
      <c r="J430" s="195">
        <v>5</v>
      </c>
      <c r="K430" s="195">
        <v>4</v>
      </c>
      <c r="L430" s="195">
        <v>2</v>
      </c>
      <c r="M430" s="196">
        <v>4</v>
      </c>
    </row>
    <row r="431" spans="1:13" x14ac:dyDescent="0.25">
      <c r="A431" s="194">
        <v>430</v>
      </c>
      <c r="B431" s="195">
        <v>4</v>
      </c>
      <c r="C431" s="195">
        <v>4</v>
      </c>
      <c r="D431" s="195">
        <v>4</v>
      </c>
      <c r="E431" s="195">
        <v>5</v>
      </c>
      <c r="F431" s="195">
        <v>3</v>
      </c>
      <c r="G431" s="195">
        <v>2</v>
      </c>
      <c r="H431" s="195">
        <v>4</v>
      </c>
      <c r="I431" s="195">
        <v>4</v>
      </c>
      <c r="J431" s="195">
        <v>4</v>
      </c>
      <c r="K431" s="195">
        <v>4</v>
      </c>
      <c r="L431" s="195">
        <v>3</v>
      </c>
      <c r="M431" s="196">
        <v>4</v>
      </c>
    </row>
    <row r="432" spans="1:13" x14ac:dyDescent="0.25">
      <c r="A432" s="194">
        <v>431</v>
      </c>
      <c r="B432" s="195">
        <v>4</v>
      </c>
      <c r="C432" s="195">
        <v>4</v>
      </c>
      <c r="D432" s="195">
        <v>4</v>
      </c>
      <c r="E432" s="195">
        <v>5</v>
      </c>
      <c r="F432" s="195">
        <v>5</v>
      </c>
      <c r="G432" s="195">
        <v>5</v>
      </c>
      <c r="H432" s="195">
        <v>5</v>
      </c>
      <c r="I432" s="195">
        <v>4</v>
      </c>
      <c r="J432" s="195">
        <v>5</v>
      </c>
      <c r="K432" s="195">
        <v>4</v>
      </c>
      <c r="L432" s="195">
        <v>3</v>
      </c>
      <c r="M432" s="196">
        <v>4</v>
      </c>
    </row>
    <row r="433" spans="1:13" x14ac:dyDescent="0.25">
      <c r="A433" s="194">
        <v>432</v>
      </c>
      <c r="B433" s="195">
        <v>4</v>
      </c>
      <c r="C433" s="195">
        <v>5</v>
      </c>
      <c r="D433" s="195">
        <v>4</v>
      </c>
      <c r="E433" s="195">
        <v>5</v>
      </c>
      <c r="F433" s="195">
        <v>4</v>
      </c>
      <c r="G433" s="195">
        <v>5</v>
      </c>
      <c r="H433" s="195">
        <v>4</v>
      </c>
      <c r="I433" s="195">
        <v>4</v>
      </c>
      <c r="J433" s="195">
        <v>3</v>
      </c>
      <c r="K433" s="195">
        <v>5</v>
      </c>
      <c r="L433" s="195">
        <v>4</v>
      </c>
      <c r="M433" s="196">
        <v>4</v>
      </c>
    </row>
    <row r="434" spans="1:13" x14ac:dyDescent="0.25">
      <c r="A434" s="194">
        <v>433</v>
      </c>
      <c r="B434" s="195">
        <v>4</v>
      </c>
      <c r="C434" s="195">
        <v>5</v>
      </c>
      <c r="D434" s="195">
        <v>5</v>
      </c>
      <c r="E434" s="195">
        <v>5</v>
      </c>
      <c r="F434" s="195">
        <v>5</v>
      </c>
      <c r="G434" s="195">
        <v>5</v>
      </c>
      <c r="H434" s="195">
        <v>5</v>
      </c>
      <c r="I434" s="195">
        <v>5</v>
      </c>
      <c r="J434" s="195">
        <v>5</v>
      </c>
      <c r="K434" s="195">
        <v>5</v>
      </c>
      <c r="L434" s="195">
        <v>4</v>
      </c>
      <c r="M434" s="196">
        <v>4</v>
      </c>
    </row>
    <row r="435" spans="1:13" x14ac:dyDescent="0.25">
      <c r="A435" s="194">
        <v>434</v>
      </c>
      <c r="B435" s="195">
        <v>4</v>
      </c>
      <c r="C435" s="195">
        <v>4</v>
      </c>
      <c r="D435" s="195">
        <v>3</v>
      </c>
      <c r="E435" s="195">
        <v>2</v>
      </c>
      <c r="F435" s="195">
        <v>4</v>
      </c>
      <c r="G435" s="195">
        <v>4</v>
      </c>
      <c r="H435" s="195">
        <v>3</v>
      </c>
      <c r="I435" s="195">
        <v>4</v>
      </c>
      <c r="J435" s="195">
        <v>4</v>
      </c>
      <c r="K435" s="195">
        <v>4</v>
      </c>
      <c r="L435" s="195">
        <v>2</v>
      </c>
      <c r="M435" s="196">
        <v>4</v>
      </c>
    </row>
    <row r="436" spans="1:13" x14ac:dyDescent="0.25">
      <c r="A436" s="194">
        <v>435</v>
      </c>
      <c r="B436" s="195">
        <v>4</v>
      </c>
      <c r="C436" s="195">
        <v>5</v>
      </c>
      <c r="D436" s="195">
        <v>5</v>
      </c>
      <c r="E436" s="195">
        <v>5</v>
      </c>
      <c r="F436" s="195">
        <v>5</v>
      </c>
      <c r="G436" s="195">
        <v>5</v>
      </c>
      <c r="H436" s="195">
        <v>5</v>
      </c>
      <c r="I436" s="195">
        <v>4</v>
      </c>
      <c r="J436" s="195">
        <v>5</v>
      </c>
      <c r="K436" s="195">
        <v>5</v>
      </c>
      <c r="L436" s="195">
        <v>4</v>
      </c>
      <c r="M436" s="196">
        <v>4</v>
      </c>
    </row>
    <row r="437" spans="1:13" x14ac:dyDescent="0.25">
      <c r="A437" s="194">
        <v>436</v>
      </c>
      <c r="B437" s="195">
        <v>4</v>
      </c>
      <c r="C437" s="195">
        <v>5</v>
      </c>
      <c r="D437" s="195">
        <v>5</v>
      </c>
      <c r="E437" s="195">
        <v>4</v>
      </c>
      <c r="F437" s="195">
        <v>4</v>
      </c>
      <c r="G437" s="195">
        <v>4</v>
      </c>
      <c r="H437" s="195">
        <v>5</v>
      </c>
      <c r="I437" s="195">
        <v>4</v>
      </c>
      <c r="J437" s="195">
        <v>5</v>
      </c>
      <c r="K437" s="195">
        <v>4</v>
      </c>
      <c r="L437" s="195">
        <v>3</v>
      </c>
      <c r="M437" s="196">
        <v>4</v>
      </c>
    </row>
    <row r="438" spans="1:13" x14ac:dyDescent="0.25">
      <c r="A438" s="194">
        <v>437</v>
      </c>
      <c r="B438" s="195">
        <v>4</v>
      </c>
      <c r="C438" s="195">
        <v>5</v>
      </c>
      <c r="D438" s="195">
        <v>5</v>
      </c>
      <c r="E438" s="195">
        <v>5</v>
      </c>
      <c r="F438" s="195">
        <v>5</v>
      </c>
      <c r="G438" s="195">
        <v>5</v>
      </c>
      <c r="H438" s="195">
        <v>4</v>
      </c>
      <c r="I438" s="195">
        <v>4</v>
      </c>
      <c r="J438" s="195">
        <v>5</v>
      </c>
      <c r="K438" s="195">
        <v>5</v>
      </c>
      <c r="L438" s="195">
        <v>5</v>
      </c>
      <c r="M438" s="196">
        <v>4</v>
      </c>
    </row>
    <row r="439" spans="1:13" x14ac:dyDescent="0.25">
      <c r="A439" s="194">
        <v>438</v>
      </c>
      <c r="B439" s="195">
        <v>4</v>
      </c>
      <c r="C439" s="195">
        <v>5</v>
      </c>
      <c r="D439" s="195">
        <v>5</v>
      </c>
      <c r="E439" s="195">
        <v>3</v>
      </c>
      <c r="F439" s="195">
        <v>5</v>
      </c>
      <c r="G439" s="195">
        <v>5</v>
      </c>
      <c r="H439" s="195">
        <v>5</v>
      </c>
      <c r="I439" s="195">
        <v>5</v>
      </c>
      <c r="J439" s="195">
        <v>5</v>
      </c>
      <c r="K439" s="195">
        <v>5</v>
      </c>
      <c r="L439" s="195">
        <v>5</v>
      </c>
      <c r="M439" s="196">
        <v>4</v>
      </c>
    </row>
    <row r="440" spans="1:13" x14ac:dyDescent="0.25">
      <c r="A440" s="194">
        <v>439</v>
      </c>
      <c r="B440" s="195">
        <v>4</v>
      </c>
      <c r="C440" s="195">
        <v>5</v>
      </c>
      <c r="D440" s="195">
        <v>5</v>
      </c>
      <c r="E440" s="195">
        <v>5</v>
      </c>
      <c r="F440" s="195">
        <v>5</v>
      </c>
      <c r="G440" s="195">
        <v>5</v>
      </c>
      <c r="H440" s="195">
        <v>5</v>
      </c>
      <c r="I440" s="195">
        <v>5</v>
      </c>
      <c r="J440" s="195">
        <v>5</v>
      </c>
      <c r="K440" s="195">
        <v>5</v>
      </c>
      <c r="L440" s="195">
        <v>4</v>
      </c>
      <c r="M440" s="196">
        <v>4</v>
      </c>
    </row>
    <row r="441" spans="1:13" x14ac:dyDescent="0.25">
      <c r="A441" s="194">
        <v>440</v>
      </c>
      <c r="B441" s="195">
        <v>4</v>
      </c>
      <c r="C441" s="195">
        <v>1</v>
      </c>
      <c r="D441" s="195">
        <v>4</v>
      </c>
      <c r="E441" s="195">
        <v>4</v>
      </c>
      <c r="F441" s="195">
        <v>5</v>
      </c>
      <c r="G441" s="195">
        <v>4</v>
      </c>
      <c r="H441" s="195">
        <v>5</v>
      </c>
      <c r="I441" s="195">
        <v>4</v>
      </c>
      <c r="J441" s="195">
        <v>5</v>
      </c>
      <c r="K441" s="195">
        <v>4</v>
      </c>
      <c r="L441" s="195">
        <v>4</v>
      </c>
      <c r="M441" s="196">
        <v>4</v>
      </c>
    </row>
    <row r="442" spans="1:13" x14ac:dyDescent="0.25">
      <c r="A442" s="194">
        <v>441</v>
      </c>
      <c r="B442" s="195">
        <v>4</v>
      </c>
      <c r="C442" s="195">
        <v>4</v>
      </c>
      <c r="D442" s="195">
        <v>3</v>
      </c>
      <c r="E442" s="195">
        <v>5</v>
      </c>
      <c r="F442" s="195">
        <v>5</v>
      </c>
      <c r="G442" s="195">
        <v>5</v>
      </c>
      <c r="H442" s="195">
        <v>5</v>
      </c>
      <c r="I442" s="195">
        <v>4</v>
      </c>
      <c r="J442" s="195">
        <v>5</v>
      </c>
      <c r="K442" s="195">
        <v>4</v>
      </c>
      <c r="L442" s="195">
        <v>5</v>
      </c>
      <c r="M442" s="196">
        <v>4</v>
      </c>
    </row>
    <row r="443" spans="1:13" x14ac:dyDescent="0.25">
      <c r="A443" s="194">
        <v>442</v>
      </c>
      <c r="B443" s="195">
        <v>4</v>
      </c>
      <c r="C443" s="195">
        <v>5</v>
      </c>
      <c r="D443" s="195">
        <v>5</v>
      </c>
      <c r="E443" s="195">
        <v>5</v>
      </c>
      <c r="F443" s="195">
        <v>4</v>
      </c>
      <c r="G443" s="195">
        <v>5</v>
      </c>
      <c r="H443" s="195">
        <v>4</v>
      </c>
      <c r="I443" s="195">
        <v>5</v>
      </c>
      <c r="J443" s="195">
        <v>4</v>
      </c>
      <c r="K443" s="195">
        <v>1</v>
      </c>
      <c r="L443" s="195">
        <v>2</v>
      </c>
      <c r="M443" s="196">
        <v>4</v>
      </c>
    </row>
    <row r="444" spans="1:13" x14ac:dyDescent="0.25">
      <c r="A444" s="194">
        <v>443</v>
      </c>
      <c r="B444" s="195">
        <v>4</v>
      </c>
      <c r="C444" s="195">
        <v>5</v>
      </c>
      <c r="D444" s="195">
        <v>5</v>
      </c>
      <c r="E444" s="195">
        <v>5</v>
      </c>
      <c r="F444" s="195">
        <v>5</v>
      </c>
      <c r="G444" s="195">
        <v>5</v>
      </c>
      <c r="H444" s="195">
        <v>5</v>
      </c>
      <c r="I444" s="195">
        <v>5</v>
      </c>
      <c r="J444" s="195">
        <v>5</v>
      </c>
      <c r="K444" s="195">
        <v>5</v>
      </c>
      <c r="L444" s="195">
        <v>4</v>
      </c>
      <c r="M444" s="196">
        <v>4</v>
      </c>
    </row>
    <row r="445" spans="1:13" x14ac:dyDescent="0.25">
      <c r="A445" s="194">
        <v>444</v>
      </c>
      <c r="B445" s="195">
        <v>4</v>
      </c>
      <c r="C445" s="195">
        <v>5</v>
      </c>
      <c r="D445" s="195">
        <v>5</v>
      </c>
      <c r="E445" s="195">
        <v>5</v>
      </c>
      <c r="F445" s="195">
        <v>5</v>
      </c>
      <c r="G445" s="195">
        <v>3</v>
      </c>
      <c r="H445" s="195">
        <v>4</v>
      </c>
      <c r="I445" s="195">
        <v>4</v>
      </c>
      <c r="J445" s="195">
        <v>4</v>
      </c>
      <c r="K445" s="195">
        <v>4</v>
      </c>
      <c r="L445" s="195">
        <v>5</v>
      </c>
      <c r="M445" s="196">
        <v>4</v>
      </c>
    </row>
    <row r="446" spans="1:13" x14ac:dyDescent="0.25">
      <c r="A446" s="194">
        <v>445</v>
      </c>
      <c r="B446" s="195">
        <v>4</v>
      </c>
      <c r="C446" s="195">
        <v>5</v>
      </c>
      <c r="D446" s="195">
        <v>5</v>
      </c>
      <c r="E446" s="195">
        <v>5</v>
      </c>
      <c r="F446" s="195">
        <v>5</v>
      </c>
      <c r="G446" s="195">
        <v>5</v>
      </c>
      <c r="H446" s="195">
        <v>5</v>
      </c>
      <c r="I446" s="195">
        <v>5</v>
      </c>
      <c r="J446" s="195">
        <v>5</v>
      </c>
      <c r="K446" s="195">
        <v>5</v>
      </c>
      <c r="L446" s="195">
        <v>5</v>
      </c>
      <c r="M446" s="196">
        <v>4</v>
      </c>
    </row>
    <row r="447" spans="1:13" x14ac:dyDescent="0.25">
      <c r="A447" s="194">
        <v>446</v>
      </c>
      <c r="B447" s="195">
        <v>4</v>
      </c>
      <c r="C447" s="195">
        <v>4</v>
      </c>
      <c r="D447" s="195">
        <v>4</v>
      </c>
      <c r="E447" s="195">
        <v>4</v>
      </c>
      <c r="F447" s="195">
        <v>5</v>
      </c>
      <c r="G447" s="195">
        <v>5</v>
      </c>
      <c r="H447" s="195">
        <v>4</v>
      </c>
      <c r="I447" s="195">
        <v>5</v>
      </c>
      <c r="J447" s="195">
        <v>5</v>
      </c>
      <c r="K447" s="195">
        <v>4</v>
      </c>
      <c r="L447" s="195">
        <v>3</v>
      </c>
      <c r="M447" s="196">
        <v>4</v>
      </c>
    </row>
    <row r="448" spans="1:13" x14ac:dyDescent="0.25">
      <c r="A448" s="194">
        <v>447</v>
      </c>
      <c r="B448" s="195">
        <v>4</v>
      </c>
      <c r="C448" s="195">
        <v>4</v>
      </c>
      <c r="D448" s="195">
        <v>5</v>
      </c>
      <c r="E448" s="195">
        <v>4</v>
      </c>
      <c r="F448" s="195">
        <v>5</v>
      </c>
      <c r="G448" s="195">
        <v>5</v>
      </c>
      <c r="H448" s="195">
        <v>4</v>
      </c>
      <c r="I448" s="195">
        <v>4</v>
      </c>
      <c r="J448" s="195">
        <v>5</v>
      </c>
      <c r="K448" s="195">
        <v>4</v>
      </c>
      <c r="L448" s="195">
        <v>4</v>
      </c>
      <c r="M448" s="196">
        <v>4</v>
      </c>
    </row>
    <row r="449" spans="1:13" x14ac:dyDescent="0.25">
      <c r="A449" s="194">
        <v>448</v>
      </c>
      <c r="B449" s="195">
        <v>4</v>
      </c>
      <c r="C449" s="195">
        <v>5</v>
      </c>
      <c r="D449" s="195">
        <v>5</v>
      </c>
      <c r="E449" s="195">
        <v>5</v>
      </c>
      <c r="F449" s="195">
        <v>5</v>
      </c>
      <c r="G449" s="195">
        <v>4</v>
      </c>
      <c r="H449" s="195">
        <v>5</v>
      </c>
      <c r="I449" s="195">
        <v>4</v>
      </c>
      <c r="J449" s="195">
        <v>5</v>
      </c>
      <c r="K449" s="195">
        <v>5</v>
      </c>
      <c r="L449" s="195">
        <v>4</v>
      </c>
      <c r="M449" s="196">
        <v>4</v>
      </c>
    </row>
    <row r="450" spans="1:13" x14ac:dyDescent="0.25">
      <c r="A450" s="194">
        <v>449</v>
      </c>
      <c r="B450" s="195">
        <v>4</v>
      </c>
      <c r="C450" s="195">
        <v>3</v>
      </c>
      <c r="D450" s="195">
        <v>3</v>
      </c>
      <c r="E450" s="195">
        <v>4</v>
      </c>
      <c r="F450" s="195">
        <v>5</v>
      </c>
      <c r="G450" s="195">
        <v>5</v>
      </c>
      <c r="H450" s="195">
        <v>3</v>
      </c>
      <c r="I450" s="195">
        <v>3</v>
      </c>
      <c r="J450" s="195">
        <v>3</v>
      </c>
      <c r="K450" s="195">
        <v>3</v>
      </c>
      <c r="L450" s="195">
        <v>3</v>
      </c>
      <c r="M450" s="196">
        <v>4</v>
      </c>
    </row>
    <row r="451" spans="1:13" x14ac:dyDescent="0.25">
      <c r="A451" s="194">
        <v>450</v>
      </c>
      <c r="B451" s="195">
        <v>4</v>
      </c>
      <c r="C451" s="195">
        <v>5</v>
      </c>
      <c r="D451" s="195">
        <v>5</v>
      </c>
      <c r="E451" s="195">
        <v>4</v>
      </c>
      <c r="F451" s="195">
        <v>5</v>
      </c>
      <c r="G451" s="195">
        <v>4</v>
      </c>
      <c r="H451" s="195">
        <v>4</v>
      </c>
      <c r="I451" s="195">
        <v>4</v>
      </c>
      <c r="J451" s="195">
        <v>5</v>
      </c>
      <c r="K451" s="195">
        <v>3</v>
      </c>
      <c r="L451" s="195">
        <v>3</v>
      </c>
      <c r="M451" s="196">
        <v>4</v>
      </c>
    </row>
    <row r="452" spans="1:13" x14ac:dyDescent="0.25">
      <c r="A452" s="194">
        <v>451</v>
      </c>
      <c r="B452" s="195">
        <v>4</v>
      </c>
      <c r="C452" s="195">
        <v>4</v>
      </c>
      <c r="D452" s="195">
        <v>4</v>
      </c>
      <c r="E452" s="195">
        <v>2</v>
      </c>
      <c r="F452" s="195">
        <v>5</v>
      </c>
      <c r="G452" s="195">
        <v>4</v>
      </c>
      <c r="H452" s="195">
        <v>3</v>
      </c>
      <c r="I452" s="195">
        <v>4</v>
      </c>
      <c r="J452" s="195">
        <v>4</v>
      </c>
      <c r="K452" s="195">
        <v>4</v>
      </c>
      <c r="L452" s="195">
        <v>4</v>
      </c>
      <c r="M452" s="196">
        <v>4</v>
      </c>
    </row>
    <row r="453" spans="1:13" x14ac:dyDescent="0.25">
      <c r="A453" s="194">
        <v>452</v>
      </c>
      <c r="B453" s="195">
        <v>4</v>
      </c>
      <c r="C453" s="195">
        <v>4</v>
      </c>
      <c r="D453" s="195">
        <v>3</v>
      </c>
      <c r="E453" s="195">
        <v>4</v>
      </c>
      <c r="F453" s="195">
        <v>5</v>
      </c>
      <c r="G453" s="195">
        <v>5</v>
      </c>
      <c r="H453" s="195">
        <v>4</v>
      </c>
      <c r="I453" s="195">
        <v>5</v>
      </c>
      <c r="J453" s="195">
        <v>4</v>
      </c>
      <c r="K453" s="195">
        <v>5</v>
      </c>
      <c r="L453" s="195">
        <v>4</v>
      </c>
      <c r="M453" s="196">
        <v>4</v>
      </c>
    </row>
    <row r="454" spans="1:13" x14ac:dyDescent="0.25">
      <c r="A454" s="194">
        <v>453</v>
      </c>
      <c r="B454" s="195">
        <v>3</v>
      </c>
      <c r="C454" s="195">
        <v>5</v>
      </c>
      <c r="D454" s="195">
        <v>5</v>
      </c>
      <c r="E454" s="195">
        <v>3</v>
      </c>
      <c r="F454" s="195">
        <v>5</v>
      </c>
      <c r="G454" s="195">
        <v>5</v>
      </c>
      <c r="H454" s="195">
        <v>5</v>
      </c>
      <c r="I454" s="195">
        <v>3</v>
      </c>
      <c r="J454" s="195">
        <v>5</v>
      </c>
      <c r="K454" s="195">
        <v>5</v>
      </c>
      <c r="L454" s="195">
        <v>4</v>
      </c>
      <c r="M454" s="196">
        <v>4</v>
      </c>
    </row>
    <row r="455" spans="1:13" x14ac:dyDescent="0.25">
      <c r="A455" s="194">
        <v>454</v>
      </c>
      <c r="B455" s="195">
        <v>3</v>
      </c>
      <c r="C455" s="195">
        <v>4</v>
      </c>
      <c r="D455" s="195">
        <v>4</v>
      </c>
      <c r="E455" s="195">
        <v>3</v>
      </c>
      <c r="F455" s="195">
        <v>5</v>
      </c>
      <c r="G455" s="195">
        <v>1</v>
      </c>
      <c r="H455" s="195">
        <v>3</v>
      </c>
      <c r="I455" s="195">
        <v>3</v>
      </c>
      <c r="J455" s="195">
        <v>3</v>
      </c>
      <c r="K455" s="195">
        <v>4</v>
      </c>
      <c r="L455" s="195">
        <v>4</v>
      </c>
      <c r="M455" s="196">
        <v>4</v>
      </c>
    </row>
    <row r="456" spans="1:13" x14ac:dyDescent="0.25">
      <c r="A456" s="194">
        <v>455</v>
      </c>
      <c r="B456" s="195">
        <v>3</v>
      </c>
      <c r="C456" s="195">
        <v>4</v>
      </c>
      <c r="D456" s="195">
        <v>4</v>
      </c>
      <c r="E456" s="195">
        <v>3</v>
      </c>
      <c r="F456" s="195">
        <v>5</v>
      </c>
      <c r="G456" s="195">
        <v>5</v>
      </c>
      <c r="H456" s="195">
        <v>3</v>
      </c>
      <c r="I456" s="195">
        <v>3</v>
      </c>
      <c r="J456" s="195">
        <v>3</v>
      </c>
      <c r="K456" s="195">
        <v>4</v>
      </c>
      <c r="L456" s="195">
        <v>4</v>
      </c>
      <c r="M456" s="196">
        <v>4</v>
      </c>
    </row>
    <row r="457" spans="1:13" x14ac:dyDescent="0.25">
      <c r="A457" s="194">
        <v>456</v>
      </c>
      <c r="B457" s="195">
        <v>3</v>
      </c>
      <c r="C457" s="195">
        <v>5</v>
      </c>
      <c r="D457" s="195">
        <v>5</v>
      </c>
      <c r="E457" s="195">
        <v>2</v>
      </c>
      <c r="F457" s="195">
        <v>4</v>
      </c>
      <c r="G457" s="195">
        <v>3</v>
      </c>
      <c r="H457" s="195">
        <v>4</v>
      </c>
      <c r="I457" s="195">
        <v>5</v>
      </c>
      <c r="J457" s="195">
        <v>5</v>
      </c>
      <c r="K457" s="195">
        <v>4</v>
      </c>
      <c r="L457" s="195">
        <v>3</v>
      </c>
      <c r="M457" s="196">
        <v>4</v>
      </c>
    </row>
    <row r="458" spans="1:13" x14ac:dyDescent="0.25">
      <c r="A458" s="194">
        <v>457</v>
      </c>
      <c r="B458" s="195">
        <v>3</v>
      </c>
      <c r="C458" s="195">
        <v>5</v>
      </c>
      <c r="D458" s="195">
        <v>5</v>
      </c>
      <c r="E458" s="195">
        <v>2</v>
      </c>
      <c r="F458" s="195">
        <v>5</v>
      </c>
      <c r="G458" s="195">
        <v>4</v>
      </c>
      <c r="H458" s="195">
        <v>3</v>
      </c>
      <c r="I458" s="195">
        <v>4</v>
      </c>
      <c r="J458" s="195">
        <v>5</v>
      </c>
      <c r="K458" s="195">
        <v>4</v>
      </c>
      <c r="L458" s="195">
        <v>2</v>
      </c>
      <c r="M458" s="196">
        <v>4</v>
      </c>
    </row>
    <row r="459" spans="1:13" x14ac:dyDescent="0.25">
      <c r="A459" s="194">
        <v>458</v>
      </c>
      <c r="B459" s="195">
        <v>3</v>
      </c>
      <c r="C459" s="195">
        <v>5</v>
      </c>
      <c r="D459" s="195">
        <v>5</v>
      </c>
      <c r="E459" s="195">
        <v>5</v>
      </c>
      <c r="F459" s="195">
        <v>5</v>
      </c>
      <c r="G459" s="195">
        <v>5</v>
      </c>
      <c r="H459" s="195">
        <v>5</v>
      </c>
      <c r="I459" s="195">
        <v>5</v>
      </c>
      <c r="J459" s="195">
        <v>5</v>
      </c>
      <c r="K459" s="195">
        <v>3</v>
      </c>
      <c r="L459" s="195">
        <v>3</v>
      </c>
      <c r="M459" s="196">
        <v>4</v>
      </c>
    </row>
    <row r="460" spans="1:13" x14ac:dyDescent="0.25">
      <c r="A460" s="194">
        <v>459</v>
      </c>
      <c r="B460" s="195">
        <v>3</v>
      </c>
      <c r="C460" s="195">
        <v>5</v>
      </c>
      <c r="D460" s="195">
        <v>5</v>
      </c>
      <c r="E460" s="195">
        <v>3</v>
      </c>
      <c r="F460" s="195">
        <v>5</v>
      </c>
      <c r="G460" s="195">
        <v>5</v>
      </c>
      <c r="H460" s="195">
        <v>5</v>
      </c>
      <c r="I460" s="195">
        <v>4</v>
      </c>
      <c r="J460" s="195">
        <v>5</v>
      </c>
      <c r="K460" s="195">
        <v>5</v>
      </c>
      <c r="L460" s="195">
        <v>4</v>
      </c>
      <c r="M460" s="196">
        <v>4</v>
      </c>
    </row>
    <row r="461" spans="1:13" x14ac:dyDescent="0.25">
      <c r="A461" s="194">
        <v>460</v>
      </c>
      <c r="B461" s="195">
        <v>3</v>
      </c>
      <c r="C461" s="195">
        <v>5</v>
      </c>
      <c r="D461" s="195">
        <v>5</v>
      </c>
      <c r="E461" s="195">
        <v>4</v>
      </c>
      <c r="F461" s="195">
        <v>5</v>
      </c>
      <c r="G461" s="195">
        <v>4</v>
      </c>
      <c r="H461" s="195">
        <v>4</v>
      </c>
      <c r="I461" s="195">
        <v>3</v>
      </c>
      <c r="J461" s="195">
        <v>5</v>
      </c>
      <c r="K461" s="195">
        <v>5</v>
      </c>
      <c r="L461" s="195">
        <v>4</v>
      </c>
      <c r="M461" s="196">
        <v>4</v>
      </c>
    </row>
    <row r="462" spans="1:13" x14ac:dyDescent="0.25">
      <c r="A462" s="194">
        <v>461</v>
      </c>
      <c r="B462" s="195">
        <v>3</v>
      </c>
      <c r="C462" s="195">
        <v>5</v>
      </c>
      <c r="D462" s="195">
        <v>5</v>
      </c>
      <c r="E462" s="195">
        <v>4</v>
      </c>
      <c r="F462" s="195">
        <v>2</v>
      </c>
      <c r="G462" s="195">
        <v>1</v>
      </c>
      <c r="H462" s="195">
        <v>2</v>
      </c>
      <c r="I462" s="195">
        <v>3</v>
      </c>
      <c r="J462" s="195">
        <v>2</v>
      </c>
      <c r="K462" s="195">
        <v>4</v>
      </c>
      <c r="L462" s="195">
        <v>4</v>
      </c>
      <c r="M462" s="196">
        <v>4</v>
      </c>
    </row>
    <row r="463" spans="1:13" x14ac:dyDescent="0.25">
      <c r="A463" s="194">
        <v>462</v>
      </c>
      <c r="B463" s="195">
        <v>3</v>
      </c>
      <c r="C463" s="195">
        <v>5</v>
      </c>
      <c r="D463" s="195">
        <v>5</v>
      </c>
      <c r="E463" s="195">
        <v>4</v>
      </c>
      <c r="F463" s="195">
        <v>4</v>
      </c>
      <c r="G463" s="195">
        <v>2</v>
      </c>
      <c r="H463" s="195">
        <v>4</v>
      </c>
      <c r="I463" s="195">
        <v>4</v>
      </c>
      <c r="J463" s="195">
        <v>3</v>
      </c>
      <c r="K463" s="195">
        <v>2</v>
      </c>
      <c r="L463" s="195">
        <v>2</v>
      </c>
      <c r="M463" s="196">
        <v>4</v>
      </c>
    </row>
    <row r="464" spans="1:13" x14ac:dyDescent="0.25">
      <c r="A464" s="194">
        <v>463</v>
      </c>
      <c r="B464" s="195">
        <v>3</v>
      </c>
      <c r="C464" s="195">
        <v>4</v>
      </c>
      <c r="D464" s="195">
        <v>4</v>
      </c>
      <c r="E464" s="195">
        <v>3</v>
      </c>
      <c r="F464" s="195">
        <v>5</v>
      </c>
      <c r="G464" s="195">
        <v>4</v>
      </c>
      <c r="H464" s="195">
        <v>3</v>
      </c>
      <c r="I464" s="195">
        <v>4</v>
      </c>
      <c r="J464" s="195">
        <v>4</v>
      </c>
      <c r="K464" s="195">
        <v>2</v>
      </c>
      <c r="L464" s="195">
        <v>4</v>
      </c>
      <c r="M464" s="196">
        <v>4</v>
      </c>
    </row>
    <row r="465" spans="1:13" x14ac:dyDescent="0.25">
      <c r="A465" s="194">
        <v>464</v>
      </c>
      <c r="B465" s="195">
        <v>2</v>
      </c>
      <c r="C465" s="195">
        <v>4</v>
      </c>
      <c r="D465" s="195">
        <v>5</v>
      </c>
      <c r="E465" s="195">
        <v>3</v>
      </c>
      <c r="F465" s="195">
        <v>5</v>
      </c>
      <c r="G465" s="195">
        <v>3</v>
      </c>
      <c r="H465" s="195">
        <v>2</v>
      </c>
      <c r="I465" s="195">
        <v>3</v>
      </c>
      <c r="J465" s="195">
        <v>3</v>
      </c>
      <c r="K465" s="195">
        <v>5</v>
      </c>
      <c r="L465" s="195">
        <v>5</v>
      </c>
      <c r="M465" s="196">
        <v>4</v>
      </c>
    </row>
    <row r="466" spans="1:13" x14ac:dyDescent="0.25">
      <c r="A466" s="194">
        <v>465</v>
      </c>
      <c r="B466" s="195">
        <v>2</v>
      </c>
      <c r="C466" s="195">
        <v>5</v>
      </c>
      <c r="D466" s="195">
        <v>5</v>
      </c>
      <c r="E466" s="195">
        <v>3</v>
      </c>
      <c r="F466" s="195">
        <v>4</v>
      </c>
      <c r="G466" s="195">
        <v>4</v>
      </c>
      <c r="H466" s="195">
        <v>4</v>
      </c>
      <c r="I466" s="195">
        <v>2</v>
      </c>
      <c r="J466" s="195">
        <v>2</v>
      </c>
      <c r="K466" s="195">
        <v>5</v>
      </c>
      <c r="L466" s="195">
        <v>5</v>
      </c>
      <c r="M466" s="196">
        <v>4</v>
      </c>
    </row>
    <row r="467" spans="1:13" x14ac:dyDescent="0.25">
      <c r="A467" s="194">
        <v>466</v>
      </c>
      <c r="B467" s="195">
        <v>2</v>
      </c>
      <c r="C467" s="195">
        <v>4</v>
      </c>
      <c r="D467" s="195">
        <v>4</v>
      </c>
      <c r="E467" s="195">
        <v>2</v>
      </c>
      <c r="F467" s="195">
        <v>4</v>
      </c>
      <c r="G467" s="195">
        <v>4</v>
      </c>
      <c r="H467" s="195">
        <v>3</v>
      </c>
      <c r="I467" s="195">
        <v>4</v>
      </c>
      <c r="J467" s="195">
        <v>4</v>
      </c>
      <c r="K467" s="195">
        <v>3</v>
      </c>
      <c r="L467" s="195">
        <v>3</v>
      </c>
      <c r="M467" s="196">
        <v>4</v>
      </c>
    </row>
    <row r="468" spans="1:13" x14ac:dyDescent="0.25">
      <c r="A468" s="194">
        <v>467</v>
      </c>
      <c r="B468" s="195">
        <v>1</v>
      </c>
      <c r="C468" s="195">
        <v>5</v>
      </c>
      <c r="D468" s="195">
        <v>4</v>
      </c>
      <c r="E468" s="195">
        <v>4</v>
      </c>
      <c r="F468" s="195">
        <v>5</v>
      </c>
      <c r="G468" s="195">
        <v>2</v>
      </c>
      <c r="H468" s="195">
        <v>4</v>
      </c>
      <c r="I468" s="195">
        <v>4</v>
      </c>
      <c r="J468" s="195">
        <v>4</v>
      </c>
      <c r="K468" s="195">
        <v>4</v>
      </c>
      <c r="L468" s="195">
        <v>3</v>
      </c>
      <c r="M468" s="196">
        <v>4</v>
      </c>
    </row>
    <row r="469" spans="1:13" x14ac:dyDescent="0.25">
      <c r="A469" s="194">
        <v>468</v>
      </c>
      <c r="B469" s="195">
        <v>5</v>
      </c>
      <c r="C469" s="195">
        <v>4</v>
      </c>
      <c r="D469" s="195">
        <v>3</v>
      </c>
      <c r="E469" s="195">
        <v>5</v>
      </c>
      <c r="F469" s="195">
        <v>3</v>
      </c>
      <c r="G469" s="195">
        <v>4</v>
      </c>
      <c r="H469" s="195">
        <v>3</v>
      </c>
      <c r="I469" s="195">
        <v>4</v>
      </c>
      <c r="J469" s="195">
        <v>4</v>
      </c>
      <c r="K469" s="195">
        <v>4</v>
      </c>
      <c r="L469" s="195">
        <v>3</v>
      </c>
      <c r="M469" s="196">
        <v>3</v>
      </c>
    </row>
    <row r="470" spans="1:13" x14ac:dyDescent="0.25">
      <c r="A470" s="194">
        <v>469</v>
      </c>
      <c r="B470" s="195">
        <v>5</v>
      </c>
      <c r="C470" s="195">
        <v>5</v>
      </c>
      <c r="D470" s="195">
        <v>5</v>
      </c>
      <c r="E470" s="195">
        <v>5</v>
      </c>
      <c r="F470" s="195">
        <v>5</v>
      </c>
      <c r="G470" s="195">
        <v>5</v>
      </c>
      <c r="H470" s="195">
        <v>5</v>
      </c>
      <c r="I470" s="195">
        <v>5</v>
      </c>
      <c r="J470" s="195">
        <v>5</v>
      </c>
      <c r="K470" s="195">
        <v>5</v>
      </c>
      <c r="L470" s="195">
        <v>4</v>
      </c>
      <c r="M470" s="196">
        <v>3</v>
      </c>
    </row>
    <row r="471" spans="1:13" x14ac:dyDescent="0.25">
      <c r="A471" s="194">
        <v>470</v>
      </c>
      <c r="B471" s="195">
        <v>5</v>
      </c>
      <c r="C471" s="195">
        <v>5</v>
      </c>
      <c r="D471" s="195">
        <v>5</v>
      </c>
      <c r="E471" s="195">
        <v>5</v>
      </c>
      <c r="F471" s="195">
        <v>5</v>
      </c>
      <c r="G471" s="195">
        <v>5</v>
      </c>
      <c r="H471" s="195">
        <v>5</v>
      </c>
      <c r="I471" s="195">
        <v>5</v>
      </c>
      <c r="J471" s="195">
        <v>5</v>
      </c>
      <c r="K471" s="195">
        <v>5</v>
      </c>
      <c r="L471" s="195">
        <v>4</v>
      </c>
      <c r="M471" s="196">
        <v>3</v>
      </c>
    </row>
    <row r="472" spans="1:13" x14ac:dyDescent="0.25">
      <c r="A472" s="194">
        <v>471</v>
      </c>
      <c r="B472" s="195">
        <v>5</v>
      </c>
      <c r="C472" s="195">
        <v>4</v>
      </c>
      <c r="D472" s="195">
        <v>4</v>
      </c>
      <c r="E472" s="195">
        <v>5</v>
      </c>
      <c r="F472" s="195">
        <v>5</v>
      </c>
      <c r="G472" s="195">
        <v>5</v>
      </c>
      <c r="H472" s="195">
        <v>5</v>
      </c>
      <c r="I472" s="195">
        <v>5</v>
      </c>
      <c r="J472" s="195">
        <v>5</v>
      </c>
      <c r="K472" s="195">
        <v>5</v>
      </c>
      <c r="L472" s="195">
        <v>4</v>
      </c>
      <c r="M472" s="196">
        <v>3</v>
      </c>
    </row>
    <row r="473" spans="1:13" x14ac:dyDescent="0.25">
      <c r="A473" s="194">
        <v>472</v>
      </c>
      <c r="B473" s="195">
        <v>5</v>
      </c>
      <c r="C473" s="195">
        <v>5</v>
      </c>
      <c r="D473" s="195">
        <v>5</v>
      </c>
      <c r="E473" s="195">
        <v>5</v>
      </c>
      <c r="F473" s="195">
        <v>5</v>
      </c>
      <c r="G473" s="195">
        <v>5</v>
      </c>
      <c r="H473" s="195">
        <v>5</v>
      </c>
      <c r="I473" s="195">
        <v>5</v>
      </c>
      <c r="J473" s="195">
        <v>5</v>
      </c>
      <c r="K473" s="195">
        <v>5</v>
      </c>
      <c r="L473" s="195">
        <v>4</v>
      </c>
      <c r="M473" s="196">
        <v>3</v>
      </c>
    </row>
    <row r="474" spans="1:13" x14ac:dyDescent="0.25">
      <c r="A474" s="194">
        <v>473</v>
      </c>
      <c r="B474" s="195">
        <v>5</v>
      </c>
      <c r="C474" s="195">
        <v>4</v>
      </c>
      <c r="D474" s="195">
        <v>4</v>
      </c>
      <c r="E474" s="195">
        <v>5</v>
      </c>
      <c r="F474" s="195">
        <v>5</v>
      </c>
      <c r="G474" s="195">
        <v>5</v>
      </c>
      <c r="H474" s="195">
        <v>5</v>
      </c>
      <c r="I474" s="195">
        <v>5</v>
      </c>
      <c r="J474" s="195">
        <v>5</v>
      </c>
      <c r="K474" s="195">
        <v>5</v>
      </c>
      <c r="L474" s="195">
        <v>4</v>
      </c>
      <c r="M474" s="196">
        <v>3</v>
      </c>
    </row>
    <row r="475" spans="1:13" x14ac:dyDescent="0.25">
      <c r="A475" s="194">
        <v>474</v>
      </c>
      <c r="B475" s="195">
        <v>5</v>
      </c>
      <c r="C475" s="195">
        <v>5</v>
      </c>
      <c r="D475" s="195">
        <v>5</v>
      </c>
      <c r="E475" s="195">
        <v>5</v>
      </c>
      <c r="F475" s="195">
        <v>5</v>
      </c>
      <c r="G475" s="195">
        <v>5</v>
      </c>
      <c r="H475" s="195">
        <v>5</v>
      </c>
      <c r="I475" s="195">
        <v>5</v>
      </c>
      <c r="J475" s="195">
        <v>5</v>
      </c>
      <c r="K475" s="195">
        <v>5</v>
      </c>
      <c r="L475" s="195">
        <v>4</v>
      </c>
      <c r="M475" s="196">
        <v>3</v>
      </c>
    </row>
    <row r="476" spans="1:13" x14ac:dyDescent="0.25">
      <c r="A476" s="194">
        <v>475</v>
      </c>
      <c r="B476" s="195">
        <v>5</v>
      </c>
      <c r="C476" s="195">
        <v>5</v>
      </c>
      <c r="D476" s="195">
        <v>5</v>
      </c>
      <c r="E476" s="195">
        <v>5</v>
      </c>
      <c r="F476" s="195">
        <v>5</v>
      </c>
      <c r="G476" s="195">
        <v>5</v>
      </c>
      <c r="H476" s="195">
        <v>5</v>
      </c>
      <c r="I476" s="195">
        <v>5</v>
      </c>
      <c r="J476" s="195">
        <v>5</v>
      </c>
      <c r="K476" s="195">
        <v>5</v>
      </c>
      <c r="L476" s="195">
        <v>4</v>
      </c>
      <c r="M476" s="196">
        <v>3</v>
      </c>
    </row>
    <row r="477" spans="1:13" x14ac:dyDescent="0.25">
      <c r="A477" s="194">
        <v>476</v>
      </c>
      <c r="B477" s="195">
        <v>5</v>
      </c>
      <c r="C477" s="195">
        <v>5</v>
      </c>
      <c r="D477" s="195">
        <v>5</v>
      </c>
      <c r="E477" s="195">
        <v>5</v>
      </c>
      <c r="F477" s="195">
        <v>5</v>
      </c>
      <c r="G477" s="195">
        <v>5</v>
      </c>
      <c r="H477" s="195">
        <v>5</v>
      </c>
      <c r="I477" s="195">
        <v>5</v>
      </c>
      <c r="J477" s="195">
        <v>5</v>
      </c>
      <c r="K477" s="195">
        <v>5</v>
      </c>
      <c r="L477" s="195">
        <v>4</v>
      </c>
      <c r="M477" s="196">
        <v>3</v>
      </c>
    </row>
    <row r="478" spans="1:13" x14ac:dyDescent="0.25">
      <c r="A478" s="194">
        <v>477</v>
      </c>
      <c r="B478" s="195">
        <v>5</v>
      </c>
      <c r="C478" s="195">
        <v>5</v>
      </c>
      <c r="D478" s="195">
        <v>5</v>
      </c>
      <c r="E478" s="195">
        <v>5</v>
      </c>
      <c r="F478" s="195">
        <v>5</v>
      </c>
      <c r="G478" s="195">
        <v>5</v>
      </c>
      <c r="H478" s="195">
        <v>5</v>
      </c>
      <c r="I478" s="195">
        <v>5</v>
      </c>
      <c r="J478" s="195">
        <v>5</v>
      </c>
      <c r="K478" s="195">
        <v>5</v>
      </c>
      <c r="L478" s="195">
        <v>5</v>
      </c>
      <c r="M478" s="196">
        <v>3</v>
      </c>
    </row>
    <row r="479" spans="1:13" x14ac:dyDescent="0.25">
      <c r="A479" s="194">
        <v>478</v>
      </c>
      <c r="B479" s="195">
        <v>5</v>
      </c>
      <c r="C479" s="195">
        <v>5</v>
      </c>
      <c r="D479" s="195">
        <v>5</v>
      </c>
      <c r="E479" s="195">
        <v>5</v>
      </c>
      <c r="F479" s="195">
        <v>5</v>
      </c>
      <c r="G479" s="195">
        <v>5</v>
      </c>
      <c r="H479" s="195">
        <v>5</v>
      </c>
      <c r="I479" s="195">
        <v>5</v>
      </c>
      <c r="J479" s="195">
        <v>5</v>
      </c>
      <c r="K479" s="195">
        <v>5</v>
      </c>
      <c r="L479" s="195">
        <v>4</v>
      </c>
      <c r="M479" s="196">
        <v>3</v>
      </c>
    </row>
    <row r="480" spans="1:13" x14ac:dyDescent="0.25">
      <c r="A480" s="194">
        <v>479</v>
      </c>
      <c r="B480" s="195">
        <v>5</v>
      </c>
      <c r="C480" s="195">
        <v>5</v>
      </c>
      <c r="D480" s="195">
        <v>5</v>
      </c>
      <c r="E480" s="195">
        <v>4</v>
      </c>
      <c r="F480" s="195">
        <v>5</v>
      </c>
      <c r="G480" s="195">
        <v>5</v>
      </c>
      <c r="H480" s="195">
        <v>5</v>
      </c>
      <c r="I480" s="195">
        <v>5</v>
      </c>
      <c r="J480" s="195">
        <v>5</v>
      </c>
      <c r="K480" s="195">
        <v>5</v>
      </c>
      <c r="L480" s="195">
        <v>4</v>
      </c>
      <c r="M480" s="196">
        <v>3</v>
      </c>
    </row>
    <row r="481" spans="1:13" x14ac:dyDescent="0.25">
      <c r="A481" s="194">
        <v>480</v>
      </c>
      <c r="B481" s="195">
        <v>5</v>
      </c>
      <c r="C481" s="195">
        <v>4</v>
      </c>
      <c r="D481" s="195">
        <v>4</v>
      </c>
      <c r="E481" s="195">
        <v>5</v>
      </c>
      <c r="F481" s="195">
        <v>5</v>
      </c>
      <c r="G481" s="195">
        <v>5</v>
      </c>
      <c r="H481" s="195">
        <v>5</v>
      </c>
      <c r="I481" s="195">
        <v>5</v>
      </c>
      <c r="J481" s="195">
        <v>5</v>
      </c>
      <c r="K481" s="195">
        <v>5</v>
      </c>
      <c r="L481" s="195">
        <v>4</v>
      </c>
      <c r="M481" s="196">
        <v>3</v>
      </c>
    </row>
    <row r="482" spans="1:13" x14ac:dyDescent="0.25">
      <c r="A482" s="194">
        <v>481</v>
      </c>
      <c r="B482" s="195">
        <v>5</v>
      </c>
      <c r="C482" s="195">
        <v>5</v>
      </c>
      <c r="D482" s="195">
        <v>5</v>
      </c>
      <c r="E482" s="195">
        <v>5</v>
      </c>
      <c r="F482" s="195">
        <v>5</v>
      </c>
      <c r="G482" s="195">
        <v>5</v>
      </c>
      <c r="H482" s="195">
        <v>5</v>
      </c>
      <c r="I482" s="195">
        <v>5</v>
      </c>
      <c r="J482" s="195">
        <v>5</v>
      </c>
      <c r="K482" s="195">
        <v>5</v>
      </c>
      <c r="L482" s="195">
        <v>4</v>
      </c>
      <c r="M482" s="196">
        <v>3</v>
      </c>
    </row>
    <row r="483" spans="1:13" x14ac:dyDescent="0.25">
      <c r="A483" s="194">
        <v>482</v>
      </c>
      <c r="B483" s="195">
        <v>5</v>
      </c>
      <c r="C483" s="195">
        <v>5</v>
      </c>
      <c r="D483" s="195">
        <v>5</v>
      </c>
      <c r="E483" s="195">
        <v>5</v>
      </c>
      <c r="F483" s="195">
        <v>5</v>
      </c>
      <c r="G483" s="195">
        <v>5</v>
      </c>
      <c r="H483" s="195">
        <v>5</v>
      </c>
      <c r="I483" s="195">
        <v>5</v>
      </c>
      <c r="J483" s="195">
        <v>5</v>
      </c>
      <c r="K483" s="195">
        <v>5</v>
      </c>
      <c r="L483" s="195">
        <v>4</v>
      </c>
      <c r="M483" s="196">
        <v>3</v>
      </c>
    </row>
    <row r="484" spans="1:13" x14ac:dyDescent="0.25">
      <c r="A484" s="194">
        <v>483</v>
      </c>
      <c r="B484" s="195">
        <v>5</v>
      </c>
      <c r="C484" s="195">
        <v>5</v>
      </c>
      <c r="D484" s="195">
        <v>5</v>
      </c>
      <c r="E484" s="195">
        <v>5</v>
      </c>
      <c r="F484" s="195">
        <v>5</v>
      </c>
      <c r="G484" s="195">
        <v>5</v>
      </c>
      <c r="H484" s="195">
        <v>5</v>
      </c>
      <c r="I484" s="195">
        <v>5</v>
      </c>
      <c r="J484" s="195">
        <v>5</v>
      </c>
      <c r="K484" s="195">
        <v>5</v>
      </c>
      <c r="L484" s="195">
        <v>4</v>
      </c>
      <c r="M484" s="196">
        <v>3</v>
      </c>
    </row>
    <row r="485" spans="1:13" x14ac:dyDescent="0.25">
      <c r="A485" s="194">
        <v>484</v>
      </c>
      <c r="B485" s="195">
        <v>5</v>
      </c>
      <c r="C485" s="195">
        <v>5</v>
      </c>
      <c r="D485" s="195">
        <v>5</v>
      </c>
      <c r="E485" s="195">
        <v>5</v>
      </c>
      <c r="F485" s="195">
        <v>5</v>
      </c>
      <c r="G485" s="195">
        <v>5</v>
      </c>
      <c r="H485" s="195">
        <v>5</v>
      </c>
      <c r="I485" s="195">
        <v>5</v>
      </c>
      <c r="J485" s="195">
        <v>5</v>
      </c>
      <c r="K485" s="195">
        <v>5</v>
      </c>
      <c r="L485" s="195">
        <v>4</v>
      </c>
      <c r="M485" s="196">
        <v>3</v>
      </c>
    </row>
    <row r="486" spans="1:13" x14ac:dyDescent="0.25">
      <c r="A486" s="194">
        <v>485</v>
      </c>
      <c r="B486" s="195">
        <v>5</v>
      </c>
      <c r="C486" s="195">
        <v>5</v>
      </c>
      <c r="D486" s="195">
        <v>4</v>
      </c>
      <c r="E486" s="195">
        <v>5</v>
      </c>
      <c r="F486" s="195">
        <v>4</v>
      </c>
      <c r="G486" s="195">
        <v>5</v>
      </c>
      <c r="H486" s="195">
        <v>3</v>
      </c>
      <c r="I486" s="195">
        <v>5</v>
      </c>
      <c r="J486" s="195">
        <v>5</v>
      </c>
      <c r="K486" s="195">
        <v>4</v>
      </c>
      <c r="L486" s="195">
        <v>3</v>
      </c>
      <c r="M486" s="196">
        <v>3</v>
      </c>
    </row>
    <row r="487" spans="1:13" x14ac:dyDescent="0.25">
      <c r="A487" s="194">
        <v>486</v>
      </c>
      <c r="B487" s="195">
        <v>5</v>
      </c>
      <c r="C487" s="195">
        <v>5</v>
      </c>
      <c r="D487" s="195">
        <v>5</v>
      </c>
      <c r="E487" s="195">
        <v>5</v>
      </c>
      <c r="F487" s="195">
        <v>5</v>
      </c>
      <c r="G487" s="195">
        <v>5</v>
      </c>
      <c r="H487" s="195">
        <v>5</v>
      </c>
      <c r="I487" s="195">
        <v>5</v>
      </c>
      <c r="J487" s="195">
        <v>5</v>
      </c>
      <c r="K487" s="195">
        <v>5</v>
      </c>
      <c r="L487" s="195">
        <v>4</v>
      </c>
      <c r="M487" s="196">
        <v>3</v>
      </c>
    </row>
    <row r="488" spans="1:13" x14ac:dyDescent="0.25">
      <c r="A488" s="194">
        <v>487</v>
      </c>
      <c r="B488" s="195">
        <v>5</v>
      </c>
      <c r="C488" s="195">
        <v>4</v>
      </c>
      <c r="D488" s="195">
        <v>3</v>
      </c>
      <c r="E488" s="195">
        <v>3</v>
      </c>
      <c r="F488" s="195">
        <v>5</v>
      </c>
      <c r="G488" s="195">
        <v>5</v>
      </c>
      <c r="H488" s="195">
        <v>4</v>
      </c>
      <c r="I488" s="195">
        <v>3</v>
      </c>
      <c r="J488" s="195">
        <v>4</v>
      </c>
      <c r="K488" s="195">
        <v>4</v>
      </c>
      <c r="L488" s="195">
        <v>3</v>
      </c>
      <c r="M488" s="196">
        <v>3</v>
      </c>
    </row>
    <row r="489" spans="1:13" x14ac:dyDescent="0.25">
      <c r="A489" s="194">
        <v>488</v>
      </c>
      <c r="B489" s="195">
        <v>5</v>
      </c>
      <c r="C489" s="195">
        <v>5</v>
      </c>
      <c r="D489" s="195">
        <v>5</v>
      </c>
      <c r="E489" s="195">
        <v>5</v>
      </c>
      <c r="F489" s="195">
        <v>5</v>
      </c>
      <c r="G489" s="195">
        <v>4</v>
      </c>
      <c r="H489" s="195">
        <v>5</v>
      </c>
      <c r="I489" s="195">
        <v>5</v>
      </c>
      <c r="J489" s="195">
        <v>5</v>
      </c>
      <c r="K489" s="195">
        <v>4</v>
      </c>
      <c r="L489" s="195">
        <v>4</v>
      </c>
      <c r="M489" s="196">
        <v>3</v>
      </c>
    </row>
    <row r="490" spans="1:13" x14ac:dyDescent="0.25">
      <c r="A490" s="194">
        <v>489</v>
      </c>
      <c r="B490" s="195">
        <v>5</v>
      </c>
      <c r="C490" s="195">
        <v>4</v>
      </c>
      <c r="D490" s="195">
        <v>5</v>
      </c>
      <c r="E490" s="195">
        <v>5</v>
      </c>
      <c r="F490" s="195">
        <v>3</v>
      </c>
      <c r="G490" s="195">
        <v>3</v>
      </c>
      <c r="H490" s="195">
        <v>4</v>
      </c>
      <c r="I490" s="195">
        <v>5</v>
      </c>
      <c r="J490" s="195">
        <v>5</v>
      </c>
      <c r="K490" s="195">
        <v>4</v>
      </c>
      <c r="L490" s="195">
        <v>2</v>
      </c>
      <c r="M490" s="196">
        <v>3</v>
      </c>
    </row>
    <row r="491" spans="1:13" x14ac:dyDescent="0.25">
      <c r="A491" s="194">
        <v>490</v>
      </c>
      <c r="B491" s="195">
        <v>5</v>
      </c>
      <c r="C491" s="195">
        <v>5</v>
      </c>
      <c r="D491" s="195">
        <v>5</v>
      </c>
      <c r="E491" s="195">
        <v>4</v>
      </c>
      <c r="F491" s="195">
        <v>5</v>
      </c>
      <c r="G491" s="195">
        <v>3</v>
      </c>
      <c r="H491" s="195">
        <v>4</v>
      </c>
      <c r="I491" s="195">
        <v>5</v>
      </c>
      <c r="J491" s="195">
        <v>5</v>
      </c>
      <c r="K491" s="195">
        <v>5</v>
      </c>
      <c r="L491" s="195">
        <v>3</v>
      </c>
      <c r="M491" s="196">
        <v>3</v>
      </c>
    </row>
    <row r="492" spans="1:13" x14ac:dyDescent="0.25">
      <c r="A492" s="194">
        <v>491</v>
      </c>
      <c r="B492" s="195">
        <v>5</v>
      </c>
      <c r="C492" s="195">
        <v>5</v>
      </c>
      <c r="D492" s="195">
        <v>5</v>
      </c>
      <c r="E492" s="195">
        <v>5</v>
      </c>
      <c r="F492" s="195">
        <v>5</v>
      </c>
      <c r="G492" s="195">
        <v>5</v>
      </c>
      <c r="H492" s="195">
        <v>5</v>
      </c>
      <c r="I492" s="195">
        <v>5</v>
      </c>
      <c r="J492" s="195">
        <v>5</v>
      </c>
      <c r="K492" s="195">
        <v>5</v>
      </c>
      <c r="L492" s="195">
        <v>4</v>
      </c>
      <c r="M492" s="196">
        <v>3</v>
      </c>
    </row>
    <row r="493" spans="1:13" x14ac:dyDescent="0.25">
      <c r="A493" s="194">
        <v>492</v>
      </c>
      <c r="B493" s="195">
        <v>5</v>
      </c>
      <c r="C493" s="195">
        <v>5</v>
      </c>
      <c r="D493" s="195">
        <v>5</v>
      </c>
      <c r="E493" s="195">
        <v>5</v>
      </c>
      <c r="F493" s="195">
        <v>5</v>
      </c>
      <c r="G493" s="195">
        <v>5</v>
      </c>
      <c r="H493" s="195">
        <v>5</v>
      </c>
      <c r="I493" s="195">
        <v>5</v>
      </c>
      <c r="J493" s="195">
        <v>5</v>
      </c>
      <c r="K493" s="195">
        <v>5</v>
      </c>
      <c r="L493" s="195">
        <v>4</v>
      </c>
      <c r="M493" s="196">
        <v>3</v>
      </c>
    </row>
    <row r="494" spans="1:13" x14ac:dyDescent="0.25">
      <c r="A494" s="194">
        <v>493</v>
      </c>
      <c r="B494" s="195">
        <v>4</v>
      </c>
      <c r="C494" s="195">
        <v>5</v>
      </c>
      <c r="D494" s="195">
        <v>5</v>
      </c>
      <c r="E494" s="195">
        <v>5</v>
      </c>
      <c r="F494" s="195">
        <v>5</v>
      </c>
      <c r="G494" s="195">
        <v>5</v>
      </c>
      <c r="H494" s="195">
        <v>4</v>
      </c>
      <c r="I494" s="195">
        <v>5</v>
      </c>
      <c r="J494" s="195">
        <v>5</v>
      </c>
      <c r="K494" s="195">
        <v>4</v>
      </c>
      <c r="L494" s="195">
        <v>3</v>
      </c>
      <c r="M494" s="196">
        <v>3</v>
      </c>
    </row>
    <row r="495" spans="1:13" x14ac:dyDescent="0.25">
      <c r="A495" s="194">
        <v>494</v>
      </c>
      <c r="B495" s="195">
        <v>4</v>
      </c>
      <c r="C495" s="195">
        <v>5</v>
      </c>
      <c r="D495" s="195">
        <v>5</v>
      </c>
      <c r="E495" s="195">
        <v>4</v>
      </c>
      <c r="F495" s="195">
        <v>4</v>
      </c>
      <c r="G495" s="195">
        <v>4</v>
      </c>
      <c r="H495" s="195">
        <v>5</v>
      </c>
      <c r="I495" s="195">
        <v>5</v>
      </c>
      <c r="J495" s="195">
        <v>5</v>
      </c>
      <c r="K495" s="195">
        <v>5</v>
      </c>
      <c r="L495" s="195">
        <v>5</v>
      </c>
      <c r="M495" s="196">
        <v>3</v>
      </c>
    </row>
    <row r="496" spans="1:13" x14ac:dyDescent="0.25">
      <c r="A496" s="194">
        <v>495</v>
      </c>
      <c r="B496" s="195">
        <v>4</v>
      </c>
      <c r="C496" s="195">
        <v>4</v>
      </c>
      <c r="D496" s="195">
        <v>4</v>
      </c>
      <c r="E496" s="195">
        <v>5</v>
      </c>
      <c r="F496" s="195">
        <v>5</v>
      </c>
      <c r="G496" s="195">
        <v>3</v>
      </c>
      <c r="H496" s="195">
        <v>4</v>
      </c>
      <c r="I496" s="195">
        <v>5</v>
      </c>
      <c r="J496" s="195">
        <v>5</v>
      </c>
      <c r="K496" s="195">
        <v>3</v>
      </c>
      <c r="L496" s="195">
        <v>2</v>
      </c>
      <c r="M496" s="196">
        <v>3</v>
      </c>
    </row>
    <row r="497" spans="1:13" x14ac:dyDescent="0.25">
      <c r="A497" s="194">
        <v>496</v>
      </c>
      <c r="B497" s="195">
        <v>4</v>
      </c>
      <c r="C497" s="195">
        <v>4</v>
      </c>
      <c r="D497" s="195">
        <v>4</v>
      </c>
      <c r="E497" s="195">
        <v>5</v>
      </c>
      <c r="F497" s="195">
        <v>5</v>
      </c>
      <c r="G497" s="195">
        <v>5</v>
      </c>
      <c r="H497" s="195">
        <v>4</v>
      </c>
      <c r="I497" s="195">
        <v>5</v>
      </c>
      <c r="J497" s="195">
        <v>5</v>
      </c>
      <c r="K497" s="195">
        <v>5</v>
      </c>
      <c r="L497" s="195">
        <v>4</v>
      </c>
      <c r="M497" s="196">
        <v>3</v>
      </c>
    </row>
    <row r="498" spans="1:13" x14ac:dyDescent="0.25">
      <c r="A498" s="194">
        <v>497</v>
      </c>
      <c r="B498" s="195">
        <v>4</v>
      </c>
      <c r="C498" s="195">
        <v>5</v>
      </c>
      <c r="D498" s="195">
        <v>5</v>
      </c>
      <c r="E498" s="195">
        <v>5</v>
      </c>
      <c r="F498" s="195">
        <v>5</v>
      </c>
      <c r="G498" s="195">
        <v>5</v>
      </c>
      <c r="H498" s="195">
        <v>5</v>
      </c>
      <c r="I498" s="195">
        <v>5</v>
      </c>
      <c r="J498" s="195">
        <v>5</v>
      </c>
      <c r="K498" s="195">
        <v>5</v>
      </c>
      <c r="L498" s="195">
        <v>4</v>
      </c>
      <c r="M498" s="196">
        <v>3</v>
      </c>
    </row>
    <row r="499" spans="1:13" x14ac:dyDescent="0.25">
      <c r="A499" s="194">
        <v>498</v>
      </c>
      <c r="B499" s="195">
        <v>4</v>
      </c>
      <c r="C499" s="195">
        <v>4</v>
      </c>
      <c r="D499" s="195">
        <v>4</v>
      </c>
      <c r="E499" s="195">
        <v>4</v>
      </c>
      <c r="F499" s="195">
        <v>5</v>
      </c>
      <c r="G499" s="195">
        <v>5</v>
      </c>
      <c r="H499" s="195">
        <v>4</v>
      </c>
      <c r="I499" s="195">
        <v>2</v>
      </c>
      <c r="J499" s="195">
        <v>4</v>
      </c>
      <c r="K499" s="195">
        <v>4</v>
      </c>
      <c r="L499" s="195">
        <v>5</v>
      </c>
      <c r="M499" s="196">
        <v>3</v>
      </c>
    </row>
    <row r="500" spans="1:13" x14ac:dyDescent="0.25">
      <c r="A500" s="194">
        <v>499</v>
      </c>
      <c r="B500" s="195">
        <v>4</v>
      </c>
      <c r="C500" s="195">
        <v>5</v>
      </c>
      <c r="D500" s="195">
        <v>5</v>
      </c>
      <c r="E500" s="195">
        <v>4</v>
      </c>
      <c r="F500" s="195">
        <v>4</v>
      </c>
      <c r="G500" s="195">
        <v>4</v>
      </c>
      <c r="H500" s="195">
        <v>3</v>
      </c>
      <c r="I500" s="195">
        <v>2</v>
      </c>
      <c r="J500" s="195">
        <v>3</v>
      </c>
      <c r="K500" s="195">
        <v>5</v>
      </c>
      <c r="L500" s="195">
        <v>4</v>
      </c>
      <c r="M500" s="196">
        <v>3</v>
      </c>
    </row>
    <row r="501" spans="1:13" x14ac:dyDescent="0.25">
      <c r="A501" s="194">
        <v>500</v>
      </c>
      <c r="B501" s="195">
        <v>4</v>
      </c>
      <c r="C501" s="195">
        <v>4</v>
      </c>
      <c r="D501" s="195">
        <v>4</v>
      </c>
      <c r="E501" s="195">
        <v>5</v>
      </c>
      <c r="F501" s="195">
        <v>5</v>
      </c>
      <c r="G501" s="195">
        <v>4</v>
      </c>
      <c r="H501" s="195">
        <v>4</v>
      </c>
      <c r="I501" s="195">
        <v>5</v>
      </c>
      <c r="J501" s="195">
        <v>4</v>
      </c>
      <c r="K501" s="195">
        <v>5</v>
      </c>
      <c r="L501" s="195">
        <v>3</v>
      </c>
      <c r="M501" s="196">
        <v>3</v>
      </c>
    </row>
    <row r="502" spans="1:13" x14ac:dyDescent="0.25">
      <c r="A502" s="194">
        <v>501</v>
      </c>
      <c r="B502" s="195">
        <v>3</v>
      </c>
      <c r="C502" s="195">
        <v>5</v>
      </c>
      <c r="D502" s="195">
        <v>5</v>
      </c>
      <c r="E502" s="195">
        <v>5</v>
      </c>
      <c r="F502" s="195">
        <v>5</v>
      </c>
      <c r="G502" s="195">
        <v>5</v>
      </c>
      <c r="H502" s="195">
        <v>5</v>
      </c>
      <c r="I502" s="195">
        <v>5</v>
      </c>
      <c r="J502" s="195">
        <v>5</v>
      </c>
      <c r="K502" s="195">
        <v>5</v>
      </c>
      <c r="L502" s="195">
        <v>4</v>
      </c>
      <c r="M502" s="196">
        <v>3</v>
      </c>
    </row>
    <row r="503" spans="1:13" x14ac:dyDescent="0.25">
      <c r="A503" s="197">
        <v>502</v>
      </c>
      <c r="B503" s="198">
        <v>4</v>
      </c>
      <c r="C503" s="198">
        <v>5</v>
      </c>
      <c r="D503" s="198">
        <v>5</v>
      </c>
      <c r="E503" s="198">
        <v>4</v>
      </c>
      <c r="F503" s="198">
        <v>5</v>
      </c>
      <c r="G503" s="198">
        <v>5</v>
      </c>
      <c r="H503" s="198">
        <v>5</v>
      </c>
      <c r="I503" s="198">
        <v>4</v>
      </c>
      <c r="J503" s="198">
        <v>4</v>
      </c>
      <c r="K503" s="198">
        <v>1</v>
      </c>
      <c r="L503" s="198">
        <v>1</v>
      </c>
      <c r="M503" s="199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B8CC-75D7-4263-B5AC-1DF95930BB2B}">
  <dimension ref="A1:G61"/>
  <sheetViews>
    <sheetView workbookViewId="0">
      <selection activeCell="H33" sqref="H33"/>
    </sheetView>
  </sheetViews>
  <sheetFormatPr defaultRowHeight="15" x14ac:dyDescent="0.25"/>
  <sheetData>
    <row r="1" spans="1:7" x14ac:dyDescent="0.25">
      <c r="A1" s="1" t="s">
        <v>0</v>
      </c>
      <c r="B1" s="1" t="s">
        <v>805</v>
      </c>
      <c r="C1" s="2" t="s">
        <v>806</v>
      </c>
      <c r="D1" s="2" t="s">
        <v>807</v>
      </c>
      <c r="E1" s="2" t="s">
        <v>776</v>
      </c>
      <c r="F1" s="3" t="s">
        <v>808</v>
      </c>
      <c r="G1" s="18" t="s">
        <v>189</v>
      </c>
    </row>
    <row r="2" spans="1:7" x14ac:dyDescent="0.25">
      <c r="A2" s="74">
        <v>1</v>
      </c>
      <c r="B2" s="75">
        <v>48</v>
      </c>
      <c r="C2" s="75">
        <v>1</v>
      </c>
      <c r="D2" s="75">
        <v>1</v>
      </c>
      <c r="E2" s="75">
        <v>0</v>
      </c>
      <c r="F2" s="77">
        <v>0</v>
      </c>
      <c r="G2" s="62" t="s">
        <v>809</v>
      </c>
    </row>
    <row r="3" spans="1:7" x14ac:dyDescent="0.25">
      <c r="A3" s="78">
        <v>2</v>
      </c>
      <c r="B3" s="79">
        <v>50</v>
      </c>
      <c r="C3" s="79">
        <v>1</v>
      </c>
      <c r="D3" s="79">
        <v>1</v>
      </c>
      <c r="E3" s="79">
        <v>0</v>
      </c>
      <c r="F3" s="81">
        <v>0</v>
      </c>
      <c r="G3" s="62" t="s">
        <v>810</v>
      </c>
    </row>
    <row r="4" spans="1:7" x14ac:dyDescent="0.25">
      <c r="A4" s="78">
        <v>3</v>
      </c>
      <c r="B4" s="79">
        <v>52</v>
      </c>
      <c r="C4" s="79">
        <v>1</v>
      </c>
      <c r="D4" s="79">
        <v>1</v>
      </c>
      <c r="E4" s="79">
        <v>1</v>
      </c>
      <c r="F4" s="81">
        <v>1</v>
      </c>
      <c r="G4" s="62" t="s">
        <v>811</v>
      </c>
    </row>
    <row r="5" spans="1:7" x14ac:dyDescent="0.25">
      <c r="A5" s="78">
        <v>4</v>
      </c>
      <c r="B5" s="79">
        <v>54</v>
      </c>
      <c r="C5" s="79">
        <v>1</v>
      </c>
      <c r="D5" s="79">
        <v>1</v>
      </c>
      <c r="E5" s="79">
        <v>1</v>
      </c>
      <c r="F5" s="81">
        <v>1</v>
      </c>
    </row>
    <row r="6" spans="1:7" x14ac:dyDescent="0.25">
      <c r="A6" s="78">
        <v>5</v>
      </c>
      <c r="B6" s="79">
        <v>56</v>
      </c>
      <c r="C6" s="79">
        <v>2</v>
      </c>
      <c r="D6" s="79">
        <v>4</v>
      </c>
      <c r="E6" s="79">
        <v>0</v>
      </c>
      <c r="F6" s="81">
        <v>0</v>
      </c>
    </row>
    <row r="7" spans="1:7" x14ac:dyDescent="0.25">
      <c r="A7" s="78">
        <v>6</v>
      </c>
      <c r="B7" s="79">
        <v>59</v>
      </c>
      <c r="C7" s="79">
        <v>5</v>
      </c>
      <c r="D7" s="79">
        <v>25</v>
      </c>
      <c r="E7" s="79">
        <v>0</v>
      </c>
      <c r="F7" s="81">
        <v>0</v>
      </c>
    </row>
    <row r="8" spans="1:7" x14ac:dyDescent="0.25">
      <c r="A8" s="78">
        <v>7</v>
      </c>
      <c r="B8" s="79">
        <v>59</v>
      </c>
      <c r="C8" s="79">
        <v>2</v>
      </c>
      <c r="D8" s="79">
        <v>4</v>
      </c>
      <c r="E8" s="79">
        <v>1</v>
      </c>
      <c r="F8" s="81">
        <v>2</v>
      </c>
    </row>
    <row r="9" spans="1:7" x14ac:dyDescent="0.25">
      <c r="A9" s="78">
        <v>8</v>
      </c>
      <c r="B9" s="79">
        <v>59</v>
      </c>
      <c r="C9" s="79">
        <v>2</v>
      </c>
      <c r="D9" s="79">
        <v>4</v>
      </c>
      <c r="E9" s="79">
        <v>1</v>
      </c>
      <c r="F9" s="81">
        <v>2</v>
      </c>
    </row>
    <row r="10" spans="1:7" x14ac:dyDescent="0.25">
      <c r="A10" s="78">
        <v>9</v>
      </c>
      <c r="B10" s="79">
        <v>59</v>
      </c>
      <c r="C10" s="79">
        <v>4</v>
      </c>
      <c r="D10" s="79">
        <v>16</v>
      </c>
      <c r="E10" s="79">
        <v>1</v>
      </c>
      <c r="F10" s="81">
        <v>4</v>
      </c>
    </row>
    <row r="11" spans="1:7" x14ac:dyDescent="0.25">
      <c r="A11" s="78">
        <v>10</v>
      </c>
      <c r="B11" s="79">
        <v>60</v>
      </c>
      <c r="C11" s="79">
        <v>7</v>
      </c>
      <c r="D11" s="79">
        <v>49</v>
      </c>
      <c r="E11" s="79">
        <v>0</v>
      </c>
      <c r="F11" s="81">
        <v>0</v>
      </c>
    </row>
    <row r="12" spans="1:7" x14ac:dyDescent="0.25">
      <c r="A12" s="78">
        <v>11</v>
      </c>
      <c r="B12" s="79">
        <v>65</v>
      </c>
      <c r="C12" s="79">
        <v>3</v>
      </c>
      <c r="D12" s="79">
        <v>9</v>
      </c>
      <c r="E12" s="79">
        <v>0</v>
      </c>
      <c r="F12" s="81">
        <v>0</v>
      </c>
    </row>
    <row r="13" spans="1:7" x14ac:dyDescent="0.25">
      <c r="A13" s="78">
        <v>12</v>
      </c>
      <c r="B13" s="79">
        <v>65</v>
      </c>
      <c r="C13" s="79">
        <v>4</v>
      </c>
      <c r="D13" s="79">
        <v>16</v>
      </c>
      <c r="E13" s="79">
        <v>0</v>
      </c>
      <c r="F13" s="81">
        <v>0</v>
      </c>
    </row>
    <row r="14" spans="1:7" x14ac:dyDescent="0.25">
      <c r="A14" s="78">
        <v>13</v>
      </c>
      <c r="B14" s="79">
        <v>67</v>
      </c>
      <c r="C14" s="79">
        <v>3</v>
      </c>
      <c r="D14" s="79">
        <v>9</v>
      </c>
      <c r="E14" s="79">
        <v>1</v>
      </c>
      <c r="F14" s="81">
        <v>3</v>
      </c>
    </row>
    <row r="15" spans="1:7" x14ac:dyDescent="0.25">
      <c r="A15" s="78">
        <v>14</v>
      </c>
      <c r="B15" s="79">
        <v>70</v>
      </c>
      <c r="C15" s="79">
        <v>4</v>
      </c>
      <c r="D15" s="79">
        <v>16</v>
      </c>
      <c r="E15" s="79">
        <v>1</v>
      </c>
      <c r="F15" s="81">
        <v>4</v>
      </c>
    </row>
    <row r="16" spans="1:7" x14ac:dyDescent="0.25">
      <c r="A16" s="78">
        <v>15</v>
      </c>
      <c r="B16" s="79">
        <v>78</v>
      </c>
      <c r="C16" s="79">
        <v>4</v>
      </c>
      <c r="D16" s="79">
        <v>16</v>
      </c>
      <c r="E16" s="79">
        <v>1</v>
      </c>
      <c r="F16" s="81">
        <v>4</v>
      </c>
    </row>
    <row r="17" spans="1:6" x14ac:dyDescent="0.25">
      <c r="A17" s="78">
        <v>16</v>
      </c>
      <c r="B17" s="79">
        <v>86</v>
      </c>
      <c r="C17" s="79">
        <v>10</v>
      </c>
      <c r="D17" s="79">
        <v>100</v>
      </c>
      <c r="E17" s="79">
        <v>0</v>
      </c>
      <c r="F17" s="81">
        <v>0</v>
      </c>
    </row>
    <row r="18" spans="1:6" x14ac:dyDescent="0.25">
      <c r="A18" s="78">
        <v>17</v>
      </c>
      <c r="B18" s="79">
        <v>88</v>
      </c>
      <c r="C18" s="79">
        <v>10</v>
      </c>
      <c r="D18" s="79">
        <v>100</v>
      </c>
      <c r="E18" s="79">
        <v>1</v>
      </c>
      <c r="F18" s="81">
        <v>10</v>
      </c>
    </row>
    <row r="19" spans="1:6" x14ac:dyDescent="0.25">
      <c r="A19" s="78">
        <v>18</v>
      </c>
      <c r="B19" s="79">
        <v>89</v>
      </c>
      <c r="C19" s="79">
        <v>7</v>
      </c>
      <c r="D19" s="79">
        <v>49</v>
      </c>
      <c r="E19" s="79">
        <v>1</v>
      </c>
      <c r="F19" s="81">
        <v>7</v>
      </c>
    </row>
    <row r="20" spans="1:6" x14ac:dyDescent="0.25">
      <c r="A20" s="78">
        <v>19</v>
      </c>
      <c r="B20" s="79">
        <v>90</v>
      </c>
      <c r="C20" s="79">
        <v>14</v>
      </c>
      <c r="D20" s="79">
        <v>196</v>
      </c>
      <c r="E20" s="79">
        <v>0</v>
      </c>
      <c r="F20" s="81">
        <v>0</v>
      </c>
    </row>
    <row r="21" spans="1:6" x14ac:dyDescent="0.25">
      <c r="A21" s="78">
        <v>20</v>
      </c>
      <c r="B21" s="79">
        <v>95</v>
      </c>
      <c r="C21" s="79">
        <v>10</v>
      </c>
      <c r="D21" s="79">
        <v>100</v>
      </c>
      <c r="E21" s="79">
        <v>1</v>
      </c>
      <c r="F21" s="81">
        <v>10</v>
      </c>
    </row>
    <row r="22" spans="1:6" x14ac:dyDescent="0.25">
      <c r="A22" s="78">
        <v>21</v>
      </c>
      <c r="B22" s="79">
        <v>95</v>
      </c>
      <c r="C22" s="79">
        <v>15</v>
      </c>
      <c r="D22" s="79">
        <v>225</v>
      </c>
      <c r="E22" s="79">
        <v>0</v>
      </c>
      <c r="F22" s="81">
        <v>0</v>
      </c>
    </row>
    <row r="23" spans="1:6" x14ac:dyDescent="0.25">
      <c r="A23" s="78">
        <v>22</v>
      </c>
      <c r="B23" s="79">
        <v>96</v>
      </c>
      <c r="C23" s="79">
        <v>15</v>
      </c>
      <c r="D23" s="79">
        <v>225</v>
      </c>
      <c r="E23" s="79">
        <v>1</v>
      </c>
      <c r="F23" s="81">
        <v>15</v>
      </c>
    </row>
    <row r="24" spans="1:6" x14ac:dyDescent="0.25">
      <c r="A24" s="78">
        <v>23</v>
      </c>
      <c r="B24" s="79">
        <v>97</v>
      </c>
      <c r="C24" s="79">
        <v>10</v>
      </c>
      <c r="D24" s="79">
        <v>100</v>
      </c>
      <c r="E24" s="79">
        <v>1</v>
      </c>
      <c r="F24" s="81">
        <v>10</v>
      </c>
    </row>
    <row r="25" spans="1:6" x14ac:dyDescent="0.25">
      <c r="A25" s="78">
        <v>24</v>
      </c>
      <c r="B25" s="79">
        <v>100</v>
      </c>
      <c r="C25" s="79">
        <v>14</v>
      </c>
      <c r="D25" s="79">
        <v>196</v>
      </c>
      <c r="E25" s="79">
        <v>1</v>
      </c>
      <c r="F25" s="81">
        <v>14</v>
      </c>
    </row>
    <row r="26" spans="1:6" x14ac:dyDescent="0.25">
      <c r="A26" s="78">
        <v>25</v>
      </c>
      <c r="B26" s="79">
        <v>102</v>
      </c>
      <c r="C26" s="79">
        <v>13</v>
      </c>
      <c r="D26" s="79">
        <v>169</v>
      </c>
      <c r="E26" s="79">
        <v>1</v>
      </c>
      <c r="F26" s="81">
        <v>13</v>
      </c>
    </row>
    <row r="27" spans="1:6" x14ac:dyDescent="0.25">
      <c r="A27" s="78">
        <v>26</v>
      </c>
      <c r="B27" s="79">
        <v>110</v>
      </c>
      <c r="C27" s="79">
        <v>13</v>
      </c>
      <c r="D27" s="79">
        <v>169</v>
      </c>
      <c r="E27" s="79">
        <v>1</v>
      </c>
      <c r="F27" s="81">
        <v>13</v>
      </c>
    </row>
    <row r="28" spans="1:6" x14ac:dyDescent="0.25">
      <c r="A28" s="78">
        <v>27</v>
      </c>
      <c r="B28" s="79">
        <v>115</v>
      </c>
      <c r="C28" s="79">
        <v>25</v>
      </c>
      <c r="D28" s="79">
        <v>625</v>
      </c>
      <c r="E28" s="79">
        <v>1</v>
      </c>
      <c r="F28" s="81">
        <v>25</v>
      </c>
    </row>
    <row r="29" spans="1:6" x14ac:dyDescent="0.25">
      <c r="A29" s="78">
        <v>28</v>
      </c>
      <c r="B29" s="79">
        <v>118</v>
      </c>
      <c r="C29" s="79">
        <v>34</v>
      </c>
      <c r="D29" s="79">
        <v>1156</v>
      </c>
      <c r="E29" s="79">
        <v>1</v>
      </c>
      <c r="F29" s="81">
        <v>34</v>
      </c>
    </row>
    <row r="30" spans="1:6" x14ac:dyDescent="0.25">
      <c r="A30" s="78">
        <v>29</v>
      </c>
      <c r="B30" s="79">
        <v>120</v>
      </c>
      <c r="C30" s="79">
        <v>30</v>
      </c>
      <c r="D30" s="79">
        <v>900</v>
      </c>
      <c r="E30" s="79">
        <v>1</v>
      </c>
      <c r="F30" s="81">
        <v>30</v>
      </c>
    </row>
    <row r="31" spans="1:6" x14ac:dyDescent="0.25">
      <c r="A31" s="78">
        <v>30</v>
      </c>
      <c r="B31" s="79">
        <v>124</v>
      </c>
      <c r="C31" s="79">
        <v>25</v>
      </c>
      <c r="D31" s="79">
        <v>625</v>
      </c>
      <c r="E31" s="79">
        <v>1</v>
      </c>
      <c r="F31" s="81">
        <v>25</v>
      </c>
    </row>
    <row r="32" spans="1:6" x14ac:dyDescent="0.25">
      <c r="A32" s="78">
        <v>31</v>
      </c>
      <c r="B32" s="79">
        <v>125</v>
      </c>
      <c r="C32" s="79">
        <v>19</v>
      </c>
      <c r="D32" s="79">
        <v>361</v>
      </c>
      <c r="E32" s="79">
        <v>1</v>
      </c>
      <c r="F32" s="81">
        <v>19</v>
      </c>
    </row>
    <row r="33" spans="1:6" x14ac:dyDescent="0.25">
      <c r="A33" s="78">
        <v>32</v>
      </c>
      <c r="B33" s="79">
        <v>125</v>
      </c>
      <c r="C33" s="79">
        <v>18</v>
      </c>
      <c r="D33" s="79">
        <v>324</v>
      </c>
      <c r="E33" s="79">
        <v>1</v>
      </c>
      <c r="F33" s="81">
        <v>18</v>
      </c>
    </row>
    <row r="34" spans="1:6" x14ac:dyDescent="0.25">
      <c r="A34" s="78">
        <v>33</v>
      </c>
      <c r="B34" s="79">
        <v>128</v>
      </c>
      <c r="C34" s="79">
        <v>32</v>
      </c>
      <c r="D34" s="79">
        <v>1024</v>
      </c>
      <c r="E34" s="79">
        <v>1</v>
      </c>
      <c r="F34" s="81">
        <v>32</v>
      </c>
    </row>
    <row r="35" spans="1:6" x14ac:dyDescent="0.25">
      <c r="A35" s="78">
        <v>34</v>
      </c>
      <c r="B35" s="79">
        <v>130</v>
      </c>
      <c r="C35" s="79">
        <v>19</v>
      </c>
      <c r="D35" s="79">
        <v>361</v>
      </c>
      <c r="E35" s="79">
        <v>1</v>
      </c>
      <c r="F35" s="81">
        <v>19</v>
      </c>
    </row>
    <row r="36" spans="1:6" x14ac:dyDescent="0.25">
      <c r="A36" s="78">
        <v>35</v>
      </c>
      <c r="B36" s="79">
        <v>130</v>
      </c>
      <c r="C36" s="79">
        <v>20</v>
      </c>
      <c r="D36" s="79">
        <v>400</v>
      </c>
      <c r="E36" s="79">
        <v>1</v>
      </c>
      <c r="F36" s="81">
        <v>20</v>
      </c>
    </row>
    <row r="37" spans="1:6" x14ac:dyDescent="0.25">
      <c r="A37" s="78">
        <v>36</v>
      </c>
      <c r="B37" s="79">
        <v>130</v>
      </c>
      <c r="C37" s="79">
        <v>18</v>
      </c>
      <c r="D37" s="79">
        <v>324</v>
      </c>
      <c r="E37" s="79">
        <v>1</v>
      </c>
      <c r="F37" s="81">
        <v>18</v>
      </c>
    </row>
    <row r="38" spans="1:6" x14ac:dyDescent="0.25">
      <c r="A38" s="78">
        <v>37</v>
      </c>
      <c r="B38" s="79">
        <v>131</v>
      </c>
      <c r="C38" s="79">
        <v>20</v>
      </c>
      <c r="D38" s="79">
        <v>400</v>
      </c>
      <c r="E38" s="79">
        <v>1</v>
      </c>
      <c r="F38" s="81">
        <v>20</v>
      </c>
    </row>
    <row r="39" spans="1:6" x14ac:dyDescent="0.25">
      <c r="A39" s="78">
        <v>38</v>
      </c>
      <c r="B39" s="79">
        <v>134</v>
      </c>
      <c r="C39" s="79">
        <v>32</v>
      </c>
      <c r="D39" s="79">
        <v>1024</v>
      </c>
      <c r="E39" s="79">
        <v>1</v>
      </c>
      <c r="F39" s="81">
        <v>32</v>
      </c>
    </row>
    <row r="40" spans="1:6" x14ac:dyDescent="0.25">
      <c r="A40" s="78">
        <v>39</v>
      </c>
      <c r="B40" s="79">
        <v>134</v>
      </c>
      <c r="C40" s="79">
        <v>35</v>
      </c>
      <c r="D40" s="79">
        <v>1225</v>
      </c>
      <c r="E40" s="79">
        <v>1</v>
      </c>
      <c r="F40" s="81">
        <v>35</v>
      </c>
    </row>
    <row r="41" spans="1:6" x14ac:dyDescent="0.25">
      <c r="A41" s="78">
        <v>40</v>
      </c>
      <c r="B41" s="79">
        <v>90</v>
      </c>
      <c r="C41" s="79">
        <v>14</v>
      </c>
      <c r="D41" s="79">
        <v>196</v>
      </c>
      <c r="E41" s="79">
        <v>0</v>
      </c>
      <c r="F41" s="81">
        <v>0</v>
      </c>
    </row>
    <row r="42" spans="1:6" x14ac:dyDescent="0.25">
      <c r="A42" s="78">
        <v>41</v>
      </c>
      <c r="B42" s="79">
        <v>95</v>
      </c>
      <c r="C42" s="79">
        <v>10</v>
      </c>
      <c r="D42" s="79">
        <v>100</v>
      </c>
      <c r="E42" s="79">
        <v>1</v>
      </c>
      <c r="F42" s="81">
        <v>10</v>
      </c>
    </row>
    <row r="43" spans="1:6" x14ac:dyDescent="0.25">
      <c r="A43" s="78">
        <v>42</v>
      </c>
      <c r="B43" s="79">
        <v>95</v>
      </c>
      <c r="C43" s="79">
        <v>15</v>
      </c>
      <c r="D43" s="79">
        <v>225</v>
      </c>
      <c r="E43" s="79">
        <v>0</v>
      </c>
      <c r="F43" s="81">
        <v>0</v>
      </c>
    </row>
    <row r="44" spans="1:6" x14ac:dyDescent="0.25">
      <c r="A44" s="78">
        <v>43</v>
      </c>
      <c r="B44" s="79">
        <v>96</v>
      </c>
      <c r="C44" s="79">
        <v>15</v>
      </c>
      <c r="D44" s="79">
        <v>225</v>
      </c>
      <c r="E44" s="79">
        <v>1</v>
      </c>
      <c r="F44" s="81">
        <v>15</v>
      </c>
    </row>
    <row r="45" spans="1:6" x14ac:dyDescent="0.25">
      <c r="A45" s="78">
        <v>44</v>
      </c>
      <c r="B45" s="79">
        <v>97</v>
      </c>
      <c r="C45" s="79">
        <v>10</v>
      </c>
      <c r="D45" s="79">
        <v>100</v>
      </c>
      <c r="E45" s="79">
        <v>1</v>
      </c>
      <c r="F45" s="81">
        <v>10</v>
      </c>
    </row>
    <row r="46" spans="1:6" x14ac:dyDescent="0.25">
      <c r="A46" s="78">
        <v>45</v>
      </c>
      <c r="B46" s="79">
        <v>100</v>
      </c>
      <c r="C46" s="79">
        <v>14</v>
      </c>
      <c r="D46" s="79">
        <v>196</v>
      </c>
      <c r="E46" s="79">
        <v>1</v>
      </c>
      <c r="F46" s="81">
        <v>14</v>
      </c>
    </row>
    <row r="47" spans="1:6" x14ac:dyDescent="0.25">
      <c r="A47" s="78">
        <v>46</v>
      </c>
      <c r="B47" s="79">
        <v>102</v>
      </c>
      <c r="C47" s="79">
        <v>13</v>
      </c>
      <c r="D47" s="79">
        <v>169</v>
      </c>
      <c r="E47" s="79">
        <v>1</v>
      </c>
      <c r="F47" s="81">
        <v>13</v>
      </c>
    </row>
    <row r="48" spans="1:6" x14ac:dyDescent="0.25">
      <c r="A48" s="78">
        <v>47</v>
      </c>
      <c r="B48" s="79">
        <v>110</v>
      </c>
      <c r="C48" s="79">
        <v>13</v>
      </c>
      <c r="D48" s="79">
        <v>169</v>
      </c>
      <c r="E48" s="79">
        <v>1</v>
      </c>
      <c r="F48" s="81">
        <v>13</v>
      </c>
    </row>
    <row r="49" spans="1:6" x14ac:dyDescent="0.25">
      <c r="A49" s="78">
        <v>48</v>
      </c>
      <c r="B49" s="79">
        <v>115</v>
      </c>
      <c r="C49" s="79">
        <v>25</v>
      </c>
      <c r="D49" s="79">
        <v>625</v>
      </c>
      <c r="E49" s="79">
        <v>1</v>
      </c>
      <c r="F49" s="81">
        <v>25</v>
      </c>
    </row>
    <row r="50" spans="1:6" x14ac:dyDescent="0.25">
      <c r="A50" s="78">
        <v>49</v>
      </c>
      <c r="B50" s="79">
        <v>118</v>
      </c>
      <c r="C50" s="79">
        <v>34</v>
      </c>
      <c r="D50" s="79">
        <v>1156</v>
      </c>
      <c r="E50" s="79">
        <v>1</v>
      </c>
      <c r="F50" s="81">
        <v>34</v>
      </c>
    </row>
    <row r="51" spans="1:6" x14ac:dyDescent="0.25">
      <c r="A51" s="78">
        <v>50</v>
      </c>
      <c r="B51" s="79">
        <v>120</v>
      </c>
      <c r="C51" s="79">
        <v>30</v>
      </c>
      <c r="D51" s="79">
        <v>900</v>
      </c>
      <c r="E51" s="79">
        <v>1</v>
      </c>
      <c r="F51" s="81">
        <v>30</v>
      </c>
    </row>
    <row r="52" spans="1:6" x14ac:dyDescent="0.25">
      <c r="A52" s="78">
        <v>51</v>
      </c>
      <c r="B52" s="79">
        <v>124</v>
      </c>
      <c r="C52" s="79">
        <v>25</v>
      </c>
      <c r="D52" s="79">
        <v>625</v>
      </c>
      <c r="E52" s="79">
        <v>1</v>
      </c>
      <c r="F52" s="81">
        <v>25</v>
      </c>
    </row>
    <row r="53" spans="1:6" x14ac:dyDescent="0.25">
      <c r="A53" s="78">
        <v>52</v>
      </c>
      <c r="B53" s="79">
        <v>125</v>
      </c>
      <c r="C53" s="79">
        <v>19</v>
      </c>
      <c r="D53" s="79">
        <v>361</v>
      </c>
      <c r="E53" s="79">
        <v>1</v>
      </c>
      <c r="F53" s="81">
        <v>19</v>
      </c>
    </row>
    <row r="54" spans="1:6" x14ac:dyDescent="0.25">
      <c r="A54" s="78">
        <v>53</v>
      </c>
      <c r="B54" s="79">
        <v>125</v>
      </c>
      <c r="C54" s="79">
        <v>18</v>
      </c>
      <c r="D54" s="79">
        <v>324</v>
      </c>
      <c r="E54" s="79">
        <v>1</v>
      </c>
      <c r="F54" s="81">
        <v>18</v>
      </c>
    </row>
    <row r="55" spans="1:6" x14ac:dyDescent="0.25">
      <c r="A55" s="78">
        <v>54</v>
      </c>
      <c r="B55" s="79">
        <v>128</v>
      </c>
      <c r="C55" s="79">
        <v>32</v>
      </c>
      <c r="D55" s="79">
        <v>1024</v>
      </c>
      <c r="E55" s="79">
        <v>1</v>
      </c>
      <c r="F55" s="81">
        <v>32</v>
      </c>
    </row>
    <row r="56" spans="1:6" x14ac:dyDescent="0.25">
      <c r="A56" s="78">
        <v>55</v>
      </c>
      <c r="B56" s="79">
        <v>130</v>
      </c>
      <c r="C56" s="79">
        <v>19</v>
      </c>
      <c r="D56" s="79">
        <v>361</v>
      </c>
      <c r="E56" s="79">
        <v>1</v>
      </c>
      <c r="F56" s="81">
        <v>19</v>
      </c>
    </row>
    <row r="57" spans="1:6" x14ac:dyDescent="0.25">
      <c r="A57" s="78">
        <v>56</v>
      </c>
      <c r="B57" s="79">
        <v>130</v>
      </c>
      <c r="C57" s="79">
        <v>20</v>
      </c>
      <c r="D57" s="79">
        <v>400</v>
      </c>
      <c r="E57" s="79">
        <v>1</v>
      </c>
      <c r="F57" s="81">
        <v>20</v>
      </c>
    </row>
    <row r="58" spans="1:6" x14ac:dyDescent="0.25">
      <c r="A58" s="78">
        <v>57</v>
      </c>
      <c r="B58" s="79">
        <v>130</v>
      </c>
      <c r="C58" s="79">
        <v>18</v>
      </c>
      <c r="D58" s="79">
        <v>324</v>
      </c>
      <c r="E58" s="79">
        <v>1</v>
      </c>
      <c r="F58" s="81">
        <v>18</v>
      </c>
    </row>
    <row r="59" spans="1:6" x14ac:dyDescent="0.25">
      <c r="A59" s="78">
        <v>58</v>
      </c>
      <c r="B59" s="79">
        <v>131</v>
      </c>
      <c r="C59" s="79">
        <v>20</v>
      </c>
      <c r="D59" s="79">
        <v>400</v>
      </c>
      <c r="E59" s="79">
        <v>1</v>
      </c>
      <c r="F59" s="81">
        <v>20</v>
      </c>
    </row>
    <row r="60" spans="1:6" x14ac:dyDescent="0.25">
      <c r="A60" s="78">
        <v>59</v>
      </c>
      <c r="B60" s="79">
        <v>134</v>
      </c>
      <c r="C60" s="79">
        <v>32</v>
      </c>
      <c r="D60" s="79">
        <v>1024</v>
      </c>
      <c r="E60" s="79">
        <v>1</v>
      </c>
      <c r="F60" s="81">
        <v>32</v>
      </c>
    </row>
    <row r="61" spans="1:6" x14ac:dyDescent="0.25">
      <c r="A61" s="82">
        <v>60</v>
      </c>
      <c r="B61" s="83">
        <v>134</v>
      </c>
      <c r="C61" s="83">
        <v>35</v>
      </c>
      <c r="D61" s="83">
        <v>1225</v>
      </c>
      <c r="E61" s="83">
        <v>1</v>
      </c>
      <c r="F61" s="85">
        <v>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B72F-F1B6-4C7C-9F8A-9AD93251B477}">
  <dimension ref="A1:G51"/>
  <sheetViews>
    <sheetView workbookViewId="0">
      <selection activeCell="I13" activeCellId="1" sqref="G3:G7 I13"/>
    </sheetView>
  </sheetViews>
  <sheetFormatPr defaultRowHeight="15" x14ac:dyDescent="0.25"/>
  <sheetData>
    <row r="1" spans="1:7" x14ac:dyDescent="0.25">
      <c r="A1" s="200" t="s">
        <v>812</v>
      </c>
      <c r="B1" s="2" t="s">
        <v>14</v>
      </c>
      <c r="C1" s="2" t="s">
        <v>813</v>
      </c>
      <c r="D1" s="2" t="s">
        <v>814</v>
      </c>
      <c r="E1" s="2" t="s">
        <v>815</v>
      </c>
      <c r="F1" s="3" t="s">
        <v>816</v>
      </c>
      <c r="G1" s="18" t="s">
        <v>189</v>
      </c>
    </row>
    <row r="2" spans="1:7" x14ac:dyDescent="0.25">
      <c r="A2" s="201">
        <v>1</v>
      </c>
      <c r="B2" s="202">
        <v>59</v>
      </c>
      <c r="C2" s="202">
        <v>1</v>
      </c>
      <c r="D2" s="202">
        <v>1</v>
      </c>
      <c r="E2" s="202">
        <v>0</v>
      </c>
      <c r="F2" s="203">
        <v>33</v>
      </c>
      <c r="G2" s="16" t="s">
        <v>817</v>
      </c>
    </row>
    <row r="3" spans="1:7" x14ac:dyDescent="0.25">
      <c r="A3" s="204">
        <v>2</v>
      </c>
      <c r="B3" s="205">
        <v>19</v>
      </c>
      <c r="C3" s="205">
        <v>0</v>
      </c>
      <c r="D3" s="205">
        <v>0</v>
      </c>
      <c r="E3" s="205">
        <v>0</v>
      </c>
      <c r="F3" s="206">
        <v>9</v>
      </c>
      <c r="G3" t="s">
        <v>818</v>
      </c>
    </row>
    <row r="4" spans="1:7" x14ac:dyDescent="0.25">
      <c r="A4" s="204">
        <v>3</v>
      </c>
      <c r="B4" s="205">
        <v>29</v>
      </c>
      <c r="C4" s="205">
        <v>0</v>
      </c>
      <c r="D4" s="205">
        <v>1</v>
      </c>
      <c r="E4" s="205">
        <v>1</v>
      </c>
      <c r="F4" s="206">
        <v>0</v>
      </c>
      <c r="G4" t="s">
        <v>819</v>
      </c>
    </row>
    <row r="5" spans="1:7" x14ac:dyDescent="0.25">
      <c r="A5" s="204">
        <v>4</v>
      </c>
      <c r="B5" s="205">
        <v>24</v>
      </c>
      <c r="C5" s="205">
        <v>2</v>
      </c>
      <c r="D5" s="205">
        <v>0</v>
      </c>
      <c r="E5" s="205">
        <v>0</v>
      </c>
      <c r="F5" s="206">
        <v>45</v>
      </c>
      <c r="G5" t="s">
        <v>820</v>
      </c>
    </row>
    <row r="6" spans="1:7" x14ac:dyDescent="0.25">
      <c r="A6" s="204">
        <v>5</v>
      </c>
      <c r="B6" s="205">
        <v>31</v>
      </c>
      <c r="C6" s="205">
        <v>2</v>
      </c>
      <c r="D6" s="205">
        <v>0</v>
      </c>
      <c r="E6" s="205">
        <v>0</v>
      </c>
      <c r="F6" s="206">
        <v>30</v>
      </c>
      <c r="G6" t="s">
        <v>821</v>
      </c>
    </row>
    <row r="7" spans="1:7" x14ac:dyDescent="0.25">
      <c r="A7" s="204">
        <v>6</v>
      </c>
      <c r="B7" s="205">
        <v>23</v>
      </c>
      <c r="C7" s="205">
        <v>1</v>
      </c>
      <c r="D7" s="205">
        <v>0</v>
      </c>
      <c r="E7" s="205">
        <v>1</v>
      </c>
      <c r="F7" s="206">
        <v>0</v>
      </c>
      <c r="G7" t="s">
        <v>822</v>
      </c>
    </row>
    <row r="8" spans="1:7" x14ac:dyDescent="0.25">
      <c r="A8" s="204">
        <v>7</v>
      </c>
      <c r="B8" s="205">
        <v>21</v>
      </c>
      <c r="C8" s="205">
        <v>4</v>
      </c>
      <c r="D8" s="205">
        <v>1</v>
      </c>
      <c r="E8" s="205">
        <v>0</v>
      </c>
      <c r="F8" s="206">
        <v>45</v>
      </c>
    </row>
    <row r="9" spans="1:7" x14ac:dyDescent="0.25">
      <c r="A9" s="204">
        <v>8</v>
      </c>
      <c r="B9" s="205">
        <v>35</v>
      </c>
      <c r="C9" s="205">
        <v>4</v>
      </c>
      <c r="D9" s="205">
        <v>1</v>
      </c>
      <c r="E9" s="205">
        <v>0</v>
      </c>
      <c r="F9" s="206">
        <v>45</v>
      </c>
    </row>
    <row r="10" spans="1:7" x14ac:dyDescent="0.25">
      <c r="A10" s="204">
        <v>9</v>
      </c>
      <c r="B10" s="205">
        <v>57</v>
      </c>
      <c r="C10" s="205">
        <v>0</v>
      </c>
      <c r="D10" s="205">
        <v>0</v>
      </c>
      <c r="E10" s="205">
        <v>1</v>
      </c>
      <c r="F10" s="206">
        <v>24</v>
      </c>
    </row>
    <row r="11" spans="1:7" x14ac:dyDescent="0.25">
      <c r="A11" s="204">
        <v>10</v>
      </c>
      <c r="B11" s="205">
        <v>23</v>
      </c>
      <c r="C11" s="205">
        <v>1</v>
      </c>
      <c r="D11" s="205">
        <v>0</v>
      </c>
      <c r="E11" s="205">
        <v>0</v>
      </c>
      <c r="F11" s="206">
        <v>36</v>
      </c>
    </row>
    <row r="12" spans="1:7" x14ac:dyDescent="0.25">
      <c r="A12" s="204">
        <v>11</v>
      </c>
      <c r="B12" s="205">
        <v>29</v>
      </c>
      <c r="C12" s="205">
        <v>0</v>
      </c>
      <c r="D12" s="205">
        <v>0</v>
      </c>
      <c r="E12" s="205">
        <v>1</v>
      </c>
      <c r="F12" s="206">
        <v>0</v>
      </c>
    </row>
    <row r="13" spans="1:7" x14ac:dyDescent="0.25">
      <c r="A13" s="204">
        <v>12</v>
      </c>
      <c r="B13" s="205">
        <v>23</v>
      </c>
      <c r="C13" s="205">
        <v>4</v>
      </c>
      <c r="D13" s="205">
        <v>1</v>
      </c>
      <c r="E13" s="205">
        <v>0</v>
      </c>
      <c r="F13" s="206">
        <v>36</v>
      </c>
    </row>
    <row r="14" spans="1:7" x14ac:dyDescent="0.25">
      <c r="A14" s="204">
        <v>13</v>
      </c>
      <c r="B14" s="205">
        <v>18</v>
      </c>
      <c r="C14" s="205">
        <v>3</v>
      </c>
      <c r="D14" s="205">
        <v>0</v>
      </c>
      <c r="E14" s="205">
        <v>1</v>
      </c>
      <c r="F14" s="206">
        <v>21</v>
      </c>
    </row>
    <row r="15" spans="1:7" x14ac:dyDescent="0.25">
      <c r="A15" s="204">
        <v>14</v>
      </c>
      <c r="B15" s="205">
        <v>51</v>
      </c>
      <c r="C15" s="205">
        <v>0</v>
      </c>
      <c r="D15" s="205">
        <v>0</v>
      </c>
      <c r="E15" s="205">
        <v>1</v>
      </c>
      <c r="F15" s="206">
        <v>24</v>
      </c>
    </row>
    <row r="16" spans="1:7" x14ac:dyDescent="0.25">
      <c r="A16" s="204">
        <v>15</v>
      </c>
      <c r="B16" s="205">
        <v>17</v>
      </c>
      <c r="C16" s="205">
        <v>3</v>
      </c>
      <c r="D16" s="205">
        <v>0</v>
      </c>
      <c r="E16" s="205">
        <v>1</v>
      </c>
      <c r="F16" s="206">
        <v>15</v>
      </c>
    </row>
    <row r="17" spans="1:6" x14ac:dyDescent="0.25">
      <c r="A17" s="204">
        <v>16</v>
      </c>
      <c r="B17" s="205">
        <v>23</v>
      </c>
      <c r="C17" s="205">
        <v>0</v>
      </c>
      <c r="D17" s="205">
        <v>1</v>
      </c>
      <c r="E17" s="205">
        <v>1</v>
      </c>
      <c r="F17" s="206">
        <v>0</v>
      </c>
    </row>
    <row r="18" spans="1:6" x14ac:dyDescent="0.25">
      <c r="A18" s="204">
        <v>17</v>
      </c>
      <c r="B18" s="205">
        <v>57</v>
      </c>
      <c r="C18" s="205">
        <v>3</v>
      </c>
      <c r="D18" s="205">
        <v>0</v>
      </c>
      <c r="E18" s="205">
        <v>0</v>
      </c>
      <c r="F18" s="206">
        <v>60</v>
      </c>
    </row>
    <row r="19" spans="1:6" x14ac:dyDescent="0.25">
      <c r="A19" s="204">
        <v>18</v>
      </c>
      <c r="B19" s="205">
        <v>16</v>
      </c>
      <c r="C19" s="205">
        <v>2</v>
      </c>
      <c r="D19" s="205">
        <v>0</v>
      </c>
      <c r="E19" s="205">
        <v>1</v>
      </c>
      <c r="F19" s="206">
        <v>18</v>
      </c>
    </row>
    <row r="20" spans="1:6" x14ac:dyDescent="0.25">
      <c r="A20" s="204">
        <v>19</v>
      </c>
      <c r="B20" s="205">
        <v>51</v>
      </c>
      <c r="C20" s="205">
        <v>2</v>
      </c>
      <c r="D20" s="205">
        <v>1</v>
      </c>
      <c r="E20" s="205">
        <v>0</v>
      </c>
      <c r="F20" s="206">
        <v>30</v>
      </c>
    </row>
    <row r="21" spans="1:6" x14ac:dyDescent="0.25">
      <c r="A21" s="204">
        <v>20</v>
      </c>
      <c r="B21" s="205">
        <v>30</v>
      </c>
      <c r="C21" s="205">
        <v>3</v>
      </c>
      <c r="D21" s="205">
        <v>1</v>
      </c>
      <c r="E21" s="205">
        <v>0</v>
      </c>
      <c r="F21" s="206">
        <v>45</v>
      </c>
    </row>
    <row r="22" spans="1:6" x14ac:dyDescent="0.25">
      <c r="A22" s="204">
        <v>21</v>
      </c>
      <c r="B22" s="205">
        <v>25</v>
      </c>
      <c r="C22" s="205">
        <v>2</v>
      </c>
      <c r="D22" s="205">
        <v>1</v>
      </c>
      <c r="E22" s="205">
        <v>0</v>
      </c>
      <c r="F22" s="206">
        <v>21</v>
      </c>
    </row>
    <row r="23" spans="1:6" x14ac:dyDescent="0.25">
      <c r="A23" s="204">
        <v>22</v>
      </c>
      <c r="B23" s="205">
        <v>17</v>
      </c>
      <c r="C23" s="205">
        <v>2</v>
      </c>
      <c r="D23" s="205">
        <v>1</v>
      </c>
      <c r="E23" s="205">
        <v>0</v>
      </c>
      <c r="F23" s="206">
        <v>24</v>
      </c>
    </row>
    <row r="24" spans="1:6" x14ac:dyDescent="0.25">
      <c r="A24" s="204">
        <v>23</v>
      </c>
      <c r="B24" s="205">
        <v>51</v>
      </c>
      <c r="C24" s="205">
        <v>2</v>
      </c>
      <c r="D24" s="205">
        <v>0</v>
      </c>
      <c r="E24" s="205">
        <v>1</v>
      </c>
      <c r="F24" s="206">
        <v>27</v>
      </c>
    </row>
    <row r="25" spans="1:6" x14ac:dyDescent="0.25">
      <c r="A25" s="204">
        <v>24</v>
      </c>
      <c r="B25" s="205">
        <v>48</v>
      </c>
      <c r="C25" s="205">
        <v>0</v>
      </c>
      <c r="D25" s="205">
        <v>0</v>
      </c>
      <c r="E25" s="205">
        <v>1</v>
      </c>
      <c r="F25" s="206">
        <v>15</v>
      </c>
    </row>
    <row r="26" spans="1:6" x14ac:dyDescent="0.25">
      <c r="A26" s="204">
        <v>25</v>
      </c>
      <c r="B26" s="205">
        <v>50</v>
      </c>
      <c r="C26" s="205">
        <v>2</v>
      </c>
      <c r="D26" s="205">
        <v>1</v>
      </c>
      <c r="E26" s="205">
        <v>1</v>
      </c>
      <c r="F26" s="206">
        <v>24</v>
      </c>
    </row>
    <row r="27" spans="1:6" x14ac:dyDescent="0.25">
      <c r="A27" s="204">
        <v>26</v>
      </c>
      <c r="B27" s="205">
        <v>24</v>
      </c>
      <c r="C27" s="205">
        <v>2</v>
      </c>
      <c r="D27" s="205">
        <v>0</v>
      </c>
      <c r="E27" s="205">
        <v>1</v>
      </c>
      <c r="F27" s="206">
        <v>15</v>
      </c>
    </row>
    <row r="28" spans="1:6" x14ac:dyDescent="0.25">
      <c r="A28" s="204">
        <v>27</v>
      </c>
      <c r="B28" s="205">
        <v>36</v>
      </c>
      <c r="C28" s="205">
        <v>1</v>
      </c>
      <c r="D28" s="205">
        <v>1</v>
      </c>
      <c r="E28" s="205">
        <v>0</v>
      </c>
      <c r="F28" s="206">
        <v>30</v>
      </c>
    </row>
    <row r="29" spans="1:6" x14ac:dyDescent="0.25">
      <c r="A29" s="204">
        <v>28</v>
      </c>
      <c r="B29" s="205">
        <v>21</v>
      </c>
      <c r="C29" s="205">
        <v>1</v>
      </c>
      <c r="D29" s="205">
        <v>0</v>
      </c>
      <c r="E29" s="205">
        <v>0</v>
      </c>
      <c r="F29" s="206">
        <v>0</v>
      </c>
    </row>
    <row r="30" spans="1:6" x14ac:dyDescent="0.25">
      <c r="A30" s="204">
        <v>29</v>
      </c>
      <c r="B30" s="205">
        <v>35</v>
      </c>
      <c r="C30" s="205">
        <v>1</v>
      </c>
      <c r="D30" s="205">
        <v>1</v>
      </c>
      <c r="E30" s="205">
        <v>1</v>
      </c>
      <c r="F30" s="206">
        <v>6</v>
      </c>
    </row>
    <row r="31" spans="1:6" x14ac:dyDescent="0.25">
      <c r="A31" s="204">
        <v>30</v>
      </c>
      <c r="B31" s="205">
        <v>49</v>
      </c>
      <c r="C31" s="205">
        <v>0</v>
      </c>
      <c r="D31" s="205">
        <v>1</v>
      </c>
      <c r="E31" s="205">
        <v>1</v>
      </c>
      <c r="F31" s="206">
        <v>3</v>
      </c>
    </row>
    <row r="32" spans="1:6" x14ac:dyDescent="0.25">
      <c r="A32" s="204">
        <v>31</v>
      </c>
      <c r="B32" s="205">
        <v>17</v>
      </c>
      <c r="C32" s="205">
        <v>2</v>
      </c>
      <c r="D32" s="205">
        <v>0</v>
      </c>
      <c r="E32" s="205">
        <v>0</v>
      </c>
      <c r="F32" s="206">
        <v>33</v>
      </c>
    </row>
    <row r="33" spans="1:6" x14ac:dyDescent="0.25">
      <c r="A33" s="204">
        <v>32</v>
      </c>
      <c r="B33" s="205">
        <v>46</v>
      </c>
      <c r="C33" s="205">
        <v>2</v>
      </c>
      <c r="D33" s="205">
        <v>0</v>
      </c>
      <c r="E33" s="205">
        <v>1</v>
      </c>
      <c r="F33" s="206">
        <v>21</v>
      </c>
    </row>
    <row r="34" spans="1:6" x14ac:dyDescent="0.25">
      <c r="A34" s="204">
        <v>33</v>
      </c>
      <c r="B34" s="205">
        <v>30</v>
      </c>
      <c r="C34" s="205">
        <v>1</v>
      </c>
      <c r="D34" s="205">
        <v>1</v>
      </c>
      <c r="E34" s="205">
        <v>1</v>
      </c>
      <c r="F34" s="206">
        <v>0</v>
      </c>
    </row>
    <row r="35" spans="1:6" x14ac:dyDescent="0.25">
      <c r="A35" s="204">
        <v>34</v>
      </c>
      <c r="B35" s="205">
        <v>17</v>
      </c>
      <c r="C35" s="205">
        <v>3</v>
      </c>
      <c r="D35" s="205">
        <v>1</v>
      </c>
      <c r="E35" s="205">
        <v>0</v>
      </c>
      <c r="F35" s="206">
        <v>39</v>
      </c>
    </row>
    <row r="36" spans="1:6" x14ac:dyDescent="0.25">
      <c r="A36" s="204">
        <v>35</v>
      </c>
      <c r="B36" s="205">
        <v>44</v>
      </c>
      <c r="C36" s="205">
        <v>4</v>
      </c>
      <c r="D36" s="205">
        <v>1</v>
      </c>
      <c r="E36" s="205">
        <v>1</v>
      </c>
      <c r="F36" s="206">
        <v>33</v>
      </c>
    </row>
    <row r="37" spans="1:6" x14ac:dyDescent="0.25">
      <c r="A37" s="204">
        <v>36</v>
      </c>
      <c r="B37" s="205">
        <v>20</v>
      </c>
      <c r="C37" s="205">
        <v>1</v>
      </c>
      <c r="D37" s="205">
        <v>0</v>
      </c>
      <c r="E37" s="205">
        <v>1</v>
      </c>
      <c r="F37" s="206">
        <v>0</v>
      </c>
    </row>
    <row r="38" spans="1:6" x14ac:dyDescent="0.25">
      <c r="A38" s="204">
        <v>37</v>
      </c>
      <c r="B38" s="205">
        <v>30</v>
      </c>
      <c r="C38" s="205">
        <v>1</v>
      </c>
      <c r="D38" s="205">
        <v>0</v>
      </c>
      <c r="E38" s="205">
        <v>1</v>
      </c>
      <c r="F38" s="206">
        <v>9</v>
      </c>
    </row>
    <row r="39" spans="1:6" x14ac:dyDescent="0.25">
      <c r="A39" s="204">
        <v>38</v>
      </c>
      <c r="B39" s="205">
        <v>21</v>
      </c>
      <c r="C39" s="205">
        <v>1</v>
      </c>
      <c r="D39" s="205">
        <v>0</v>
      </c>
      <c r="E39" s="205">
        <v>0</v>
      </c>
      <c r="F39" s="206">
        <v>9</v>
      </c>
    </row>
    <row r="40" spans="1:6" x14ac:dyDescent="0.25">
      <c r="A40" s="204">
        <v>39</v>
      </c>
      <c r="B40" s="205">
        <v>22</v>
      </c>
      <c r="C40" s="205">
        <v>3</v>
      </c>
      <c r="D40" s="205">
        <v>0</v>
      </c>
      <c r="E40" s="205">
        <v>1</v>
      </c>
      <c r="F40" s="206">
        <v>21</v>
      </c>
    </row>
    <row r="41" spans="1:6" x14ac:dyDescent="0.25">
      <c r="A41" s="204">
        <v>40</v>
      </c>
      <c r="B41" s="205">
        <v>39</v>
      </c>
      <c r="C41" s="205">
        <v>2</v>
      </c>
      <c r="D41" s="205">
        <v>1</v>
      </c>
      <c r="E41" s="205">
        <v>1</v>
      </c>
      <c r="F41" s="206">
        <v>30</v>
      </c>
    </row>
    <row r="42" spans="1:6" x14ac:dyDescent="0.25">
      <c r="A42" s="204">
        <v>41</v>
      </c>
      <c r="B42" s="205">
        <v>22</v>
      </c>
      <c r="C42" s="205">
        <v>4</v>
      </c>
      <c r="D42" s="205">
        <v>1</v>
      </c>
      <c r="E42" s="205">
        <v>0</v>
      </c>
      <c r="F42" s="206">
        <v>33</v>
      </c>
    </row>
    <row r="43" spans="1:6" x14ac:dyDescent="0.25">
      <c r="A43" s="204">
        <v>42</v>
      </c>
      <c r="B43" s="205">
        <v>32</v>
      </c>
      <c r="C43" s="205">
        <v>1</v>
      </c>
      <c r="D43" s="205">
        <v>0</v>
      </c>
      <c r="E43" s="205">
        <v>0</v>
      </c>
      <c r="F43" s="206">
        <v>27</v>
      </c>
    </row>
    <row r="44" spans="1:6" x14ac:dyDescent="0.25">
      <c r="A44" s="204">
        <v>43</v>
      </c>
      <c r="B44" s="205">
        <v>37</v>
      </c>
      <c r="C44" s="205">
        <v>2</v>
      </c>
      <c r="D44" s="205">
        <v>1</v>
      </c>
      <c r="E44" s="205">
        <v>0</v>
      </c>
      <c r="F44" s="206">
        <v>9</v>
      </c>
    </row>
    <row r="45" spans="1:6" x14ac:dyDescent="0.25">
      <c r="A45" s="204">
        <v>44</v>
      </c>
      <c r="B45" s="205">
        <v>39</v>
      </c>
      <c r="C45" s="205">
        <v>2</v>
      </c>
      <c r="D45" s="205">
        <v>1</v>
      </c>
      <c r="E45" s="205">
        <v>0</v>
      </c>
      <c r="F45" s="206">
        <v>42</v>
      </c>
    </row>
    <row r="46" spans="1:6" x14ac:dyDescent="0.25">
      <c r="A46" s="204">
        <v>45</v>
      </c>
      <c r="B46" s="205">
        <v>38</v>
      </c>
      <c r="C46" s="205">
        <v>4</v>
      </c>
      <c r="D46" s="205">
        <v>0</v>
      </c>
      <c r="E46" s="205">
        <v>1</v>
      </c>
      <c r="F46" s="206">
        <v>39</v>
      </c>
    </row>
    <row r="47" spans="1:6" x14ac:dyDescent="0.25">
      <c r="A47" s="204">
        <v>46</v>
      </c>
      <c r="B47" s="205">
        <v>30</v>
      </c>
      <c r="C47" s="205">
        <v>1</v>
      </c>
      <c r="D47" s="205">
        <v>0</v>
      </c>
      <c r="E47" s="205">
        <v>0</v>
      </c>
      <c r="F47" s="206">
        <v>36</v>
      </c>
    </row>
    <row r="48" spans="1:6" x14ac:dyDescent="0.25">
      <c r="A48" s="204">
        <v>47</v>
      </c>
      <c r="B48" s="205">
        <v>41</v>
      </c>
      <c r="C48" s="205">
        <v>2</v>
      </c>
      <c r="D48" s="205">
        <v>0</v>
      </c>
      <c r="E48" s="205">
        <v>0</v>
      </c>
      <c r="F48" s="206">
        <v>39</v>
      </c>
    </row>
    <row r="49" spans="1:6" x14ac:dyDescent="0.25">
      <c r="A49" s="204">
        <v>48</v>
      </c>
      <c r="B49" s="205">
        <v>40</v>
      </c>
      <c r="C49" s="205">
        <v>1</v>
      </c>
      <c r="D49" s="205">
        <v>1</v>
      </c>
      <c r="E49" s="205">
        <v>1</v>
      </c>
      <c r="F49" s="206">
        <v>21</v>
      </c>
    </row>
    <row r="50" spans="1:6" x14ac:dyDescent="0.25">
      <c r="A50" s="204">
        <v>49</v>
      </c>
      <c r="B50" s="205">
        <v>32</v>
      </c>
      <c r="C50" s="205">
        <v>0</v>
      </c>
      <c r="D50" s="205">
        <v>0</v>
      </c>
      <c r="E50" s="205">
        <v>0</v>
      </c>
      <c r="F50" s="206">
        <v>30</v>
      </c>
    </row>
    <row r="51" spans="1:6" x14ac:dyDescent="0.25">
      <c r="A51" s="207">
        <v>50</v>
      </c>
      <c r="B51" s="208">
        <v>25</v>
      </c>
      <c r="C51" s="208">
        <v>3</v>
      </c>
      <c r="D51" s="208">
        <v>0</v>
      </c>
      <c r="E51" s="208">
        <v>1</v>
      </c>
      <c r="F51" s="209">
        <v>42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38CE6-B955-49AA-9708-F19C45061D77}">
  <dimension ref="A1:J638"/>
  <sheetViews>
    <sheetView tabSelected="1" workbookViewId="0">
      <selection activeCell="L15" sqref="L15"/>
    </sheetView>
  </sheetViews>
  <sheetFormatPr defaultRowHeight="15" x14ac:dyDescent="0.25"/>
  <sheetData>
    <row r="1" spans="1:10" x14ac:dyDescent="0.25">
      <c r="A1" s="1" t="s">
        <v>413</v>
      </c>
      <c r="B1" s="2" t="s">
        <v>823</v>
      </c>
      <c r="C1" s="19" t="s">
        <v>411</v>
      </c>
      <c r="D1" s="2" t="s">
        <v>1</v>
      </c>
      <c r="E1" s="2" t="s">
        <v>14</v>
      </c>
      <c r="F1" s="2" t="s">
        <v>824</v>
      </c>
      <c r="G1" s="2" t="s">
        <v>825</v>
      </c>
      <c r="H1" s="2" t="s">
        <v>826</v>
      </c>
      <c r="I1" s="210" t="s">
        <v>827</v>
      </c>
      <c r="J1" s="18" t="s">
        <v>189</v>
      </c>
    </row>
    <row r="2" spans="1:10" x14ac:dyDescent="0.25">
      <c r="A2" s="4">
        <v>2002</v>
      </c>
      <c r="B2" s="6" t="s">
        <v>828</v>
      </c>
      <c r="C2" s="96" t="s">
        <v>829</v>
      </c>
      <c r="D2" s="211">
        <v>12988</v>
      </c>
      <c r="E2" s="212">
        <f t="shared" ref="E2:E65" si="0">2005-A2</f>
        <v>3</v>
      </c>
      <c r="F2" s="6">
        <v>0</v>
      </c>
      <c r="G2" s="6">
        <v>0</v>
      </c>
      <c r="H2" s="6">
        <v>0</v>
      </c>
      <c r="I2" s="213">
        <v>1</v>
      </c>
      <c r="J2" s="23" t="s">
        <v>1291</v>
      </c>
    </row>
    <row r="3" spans="1:10" x14ac:dyDescent="0.25">
      <c r="A3" s="8">
        <v>1996</v>
      </c>
      <c r="B3" s="10" t="s">
        <v>828</v>
      </c>
      <c r="C3" s="97" t="s">
        <v>830</v>
      </c>
      <c r="D3" s="214">
        <v>5950</v>
      </c>
      <c r="E3" s="215">
        <f t="shared" si="0"/>
        <v>9</v>
      </c>
      <c r="F3" s="10">
        <v>0</v>
      </c>
      <c r="G3" s="10">
        <v>0</v>
      </c>
      <c r="H3" s="10">
        <v>0</v>
      </c>
      <c r="I3" s="216">
        <v>1</v>
      </c>
      <c r="J3" s="23" t="s">
        <v>1292</v>
      </c>
    </row>
    <row r="4" spans="1:10" x14ac:dyDescent="0.25">
      <c r="A4" s="8">
        <v>2001</v>
      </c>
      <c r="B4" s="10" t="s">
        <v>828</v>
      </c>
      <c r="C4" s="97" t="s">
        <v>831</v>
      </c>
      <c r="D4" s="214">
        <v>19995</v>
      </c>
      <c r="E4" s="215">
        <f t="shared" si="0"/>
        <v>4</v>
      </c>
      <c r="F4" s="10">
        <v>0</v>
      </c>
      <c r="G4" s="10">
        <v>0</v>
      </c>
      <c r="H4" s="10">
        <v>0</v>
      </c>
      <c r="I4" s="216">
        <v>1</v>
      </c>
      <c r="J4" s="23" t="s">
        <v>1293</v>
      </c>
    </row>
    <row r="5" spans="1:10" x14ac:dyDescent="0.25">
      <c r="A5" s="8">
        <v>1999</v>
      </c>
      <c r="B5" s="10" t="s">
        <v>828</v>
      </c>
      <c r="C5" s="97" t="s">
        <v>832</v>
      </c>
      <c r="D5" s="214">
        <v>5763</v>
      </c>
      <c r="E5" s="215">
        <f t="shared" si="0"/>
        <v>6</v>
      </c>
      <c r="F5" s="10">
        <v>0</v>
      </c>
      <c r="G5" s="10">
        <v>0</v>
      </c>
      <c r="H5" s="10">
        <v>0</v>
      </c>
      <c r="I5" s="216">
        <v>1</v>
      </c>
      <c r="J5" s="23" t="s">
        <v>1294</v>
      </c>
    </row>
    <row r="6" spans="1:10" x14ac:dyDescent="0.25">
      <c r="A6" s="8">
        <v>2002</v>
      </c>
      <c r="B6" s="10" t="s">
        <v>828</v>
      </c>
      <c r="C6" s="97" t="s">
        <v>833</v>
      </c>
      <c r="D6" s="214">
        <v>20988</v>
      </c>
      <c r="E6" s="215">
        <f t="shared" si="0"/>
        <v>3</v>
      </c>
      <c r="F6" s="10">
        <v>0</v>
      </c>
      <c r="G6" s="10">
        <v>1</v>
      </c>
      <c r="H6" s="10">
        <v>0</v>
      </c>
      <c r="I6" s="216">
        <v>0</v>
      </c>
      <c r="J6" s="23" t="s">
        <v>1295</v>
      </c>
    </row>
    <row r="7" spans="1:10" x14ac:dyDescent="0.25">
      <c r="A7" s="8">
        <v>2002</v>
      </c>
      <c r="B7" s="10" t="s">
        <v>828</v>
      </c>
      <c r="C7" s="97" t="s">
        <v>834</v>
      </c>
      <c r="D7" s="214">
        <v>22700</v>
      </c>
      <c r="E7" s="215">
        <f t="shared" si="0"/>
        <v>3</v>
      </c>
      <c r="F7" s="10">
        <v>0</v>
      </c>
      <c r="G7" s="10">
        <v>1</v>
      </c>
      <c r="H7" s="10">
        <v>0</v>
      </c>
      <c r="I7" s="216">
        <v>0</v>
      </c>
      <c r="J7" s="23" t="s">
        <v>1296</v>
      </c>
    </row>
    <row r="8" spans="1:10" x14ac:dyDescent="0.25">
      <c r="A8" s="8">
        <v>2003</v>
      </c>
      <c r="B8" s="10" t="s">
        <v>828</v>
      </c>
      <c r="C8" s="97" t="s">
        <v>835</v>
      </c>
      <c r="D8" s="214">
        <v>23671</v>
      </c>
      <c r="E8" s="215">
        <f t="shared" si="0"/>
        <v>2</v>
      </c>
      <c r="F8" s="10">
        <v>0</v>
      </c>
      <c r="G8" s="10">
        <v>1</v>
      </c>
      <c r="H8" s="10">
        <v>0</v>
      </c>
      <c r="I8" s="216">
        <v>0</v>
      </c>
    </row>
    <row r="9" spans="1:10" x14ac:dyDescent="0.25">
      <c r="A9" s="8">
        <v>2003</v>
      </c>
      <c r="B9" s="10" t="s">
        <v>828</v>
      </c>
      <c r="C9" s="97" t="s">
        <v>836</v>
      </c>
      <c r="D9" s="214">
        <v>24995</v>
      </c>
      <c r="E9" s="215">
        <f t="shared" si="0"/>
        <v>2</v>
      </c>
      <c r="F9" s="10">
        <v>0</v>
      </c>
      <c r="G9" s="10">
        <v>1</v>
      </c>
      <c r="H9" s="10">
        <v>0</v>
      </c>
      <c r="I9" s="216">
        <v>0</v>
      </c>
    </row>
    <row r="10" spans="1:10" x14ac:dyDescent="0.25">
      <c r="A10" s="8">
        <v>2002</v>
      </c>
      <c r="B10" s="10" t="s">
        <v>828</v>
      </c>
      <c r="C10" s="97" t="s">
        <v>837</v>
      </c>
      <c r="D10" s="214">
        <v>19990</v>
      </c>
      <c r="E10" s="215">
        <f t="shared" si="0"/>
        <v>3</v>
      </c>
      <c r="F10" s="10">
        <v>0</v>
      </c>
      <c r="G10" s="10">
        <v>1</v>
      </c>
      <c r="H10" s="10">
        <v>0</v>
      </c>
      <c r="I10" s="216">
        <v>0</v>
      </c>
    </row>
    <row r="11" spans="1:10" x14ac:dyDescent="0.25">
      <c r="A11" s="8">
        <v>2002</v>
      </c>
      <c r="B11" s="10" t="s">
        <v>828</v>
      </c>
      <c r="C11" s="97" t="s">
        <v>838</v>
      </c>
      <c r="D11" s="214">
        <v>20995</v>
      </c>
      <c r="E11" s="215">
        <f t="shared" si="0"/>
        <v>3</v>
      </c>
      <c r="F11" s="10">
        <v>0</v>
      </c>
      <c r="G11" s="10">
        <v>1</v>
      </c>
      <c r="H11" s="10">
        <v>0</v>
      </c>
      <c r="I11" s="216">
        <v>0</v>
      </c>
    </row>
    <row r="12" spans="1:10" x14ac:dyDescent="0.25">
      <c r="A12" s="8">
        <v>2002</v>
      </c>
      <c r="B12" s="10" t="s">
        <v>828</v>
      </c>
      <c r="C12" s="97" t="s">
        <v>839</v>
      </c>
      <c r="D12" s="214">
        <v>19995</v>
      </c>
      <c r="E12" s="215">
        <f t="shared" si="0"/>
        <v>3</v>
      </c>
      <c r="F12" s="10">
        <v>0</v>
      </c>
      <c r="G12" s="10">
        <v>1</v>
      </c>
      <c r="H12" s="10">
        <v>0</v>
      </c>
      <c r="I12" s="216">
        <v>0</v>
      </c>
    </row>
    <row r="13" spans="1:10" x14ac:dyDescent="0.25">
      <c r="A13" s="8">
        <v>2003</v>
      </c>
      <c r="B13" s="10" t="s">
        <v>828</v>
      </c>
      <c r="C13" s="97" t="s">
        <v>840</v>
      </c>
      <c r="D13" s="214">
        <v>24495</v>
      </c>
      <c r="E13" s="215">
        <f t="shared" si="0"/>
        <v>2</v>
      </c>
      <c r="F13" s="10">
        <v>0</v>
      </c>
      <c r="G13" s="10">
        <v>1</v>
      </c>
      <c r="H13" s="10">
        <v>0</v>
      </c>
      <c r="I13" s="216">
        <v>0</v>
      </c>
    </row>
    <row r="14" spans="1:10" x14ac:dyDescent="0.25">
      <c r="A14" s="8">
        <v>2002</v>
      </c>
      <c r="B14" s="10" t="s">
        <v>828</v>
      </c>
      <c r="C14" s="97" t="s">
        <v>840</v>
      </c>
      <c r="D14" s="214">
        <v>22900</v>
      </c>
      <c r="E14" s="215">
        <f t="shared" si="0"/>
        <v>3</v>
      </c>
      <c r="F14" s="10">
        <v>0</v>
      </c>
      <c r="G14" s="10">
        <v>1</v>
      </c>
      <c r="H14" s="10">
        <v>0</v>
      </c>
      <c r="I14" s="216">
        <v>0</v>
      </c>
    </row>
    <row r="15" spans="1:10" x14ac:dyDescent="0.25">
      <c r="A15" s="8">
        <v>2002</v>
      </c>
      <c r="B15" s="10" t="s">
        <v>828</v>
      </c>
      <c r="C15" s="97" t="s">
        <v>841</v>
      </c>
      <c r="D15" s="214">
        <v>23995</v>
      </c>
      <c r="E15" s="215">
        <f t="shared" si="0"/>
        <v>3</v>
      </c>
      <c r="F15" s="10">
        <v>0</v>
      </c>
      <c r="G15" s="10">
        <v>1</v>
      </c>
      <c r="H15" s="10">
        <v>0</v>
      </c>
      <c r="I15" s="216">
        <v>0</v>
      </c>
    </row>
    <row r="16" spans="1:10" x14ac:dyDescent="0.25">
      <c r="A16" s="8">
        <v>2002</v>
      </c>
      <c r="B16" s="10" t="s">
        <v>828</v>
      </c>
      <c r="C16" s="97" t="s">
        <v>841</v>
      </c>
      <c r="D16" s="214">
        <v>22995</v>
      </c>
      <c r="E16" s="215">
        <f t="shared" si="0"/>
        <v>3</v>
      </c>
      <c r="F16" s="10">
        <v>0</v>
      </c>
      <c r="G16" s="10">
        <v>1</v>
      </c>
      <c r="H16" s="10">
        <v>0</v>
      </c>
      <c r="I16" s="216">
        <v>0</v>
      </c>
    </row>
    <row r="17" spans="1:9" x14ac:dyDescent="0.25">
      <c r="A17" s="8">
        <v>1996</v>
      </c>
      <c r="B17" s="10" t="s">
        <v>828</v>
      </c>
      <c r="C17" s="97" t="s">
        <v>842</v>
      </c>
      <c r="D17" s="214">
        <v>4650</v>
      </c>
      <c r="E17" s="215">
        <f t="shared" si="0"/>
        <v>9</v>
      </c>
      <c r="F17" s="10">
        <v>1</v>
      </c>
      <c r="G17" s="10">
        <v>0</v>
      </c>
      <c r="H17" s="10">
        <v>0</v>
      </c>
      <c r="I17" s="216">
        <v>0</v>
      </c>
    </row>
    <row r="18" spans="1:9" x14ac:dyDescent="0.25">
      <c r="A18" s="8">
        <v>2001</v>
      </c>
      <c r="B18" s="10" t="s">
        <v>828</v>
      </c>
      <c r="C18" s="97" t="s">
        <v>843</v>
      </c>
      <c r="D18" s="214">
        <v>11990</v>
      </c>
      <c r="E18" s="215">
        <f t="shared" si="0"/>
        <v>4</v>
      </c>
      <c r="F18" s="10">
        <v>0</v>
      </c>
      <c r="G18" s="10">
        <v>0</v>
      </c>
      <c r="H18" s="10">
        <v>1</v>
      </c>
      <c r="I18" s="216">
        <v>0</v>
      </c>
    </row>
    <row r="19" spans="1:9" x14ac:dyDescent="0.25">
      <c r="A19" s="8">
        <v>2004</v>
      </c>
      <c r="B19" s="10" t="s">
        <v>828</v>
      </c>
      <c r="C19" s="97" t="s">
        <v>844</v>
      </c>
      <c r="D19" s="214">
        <v>14999</v>
      </c>
      <c r="E19" s="215">
        <f t="shared" si="0"/>
        <v>1</v>
      </c>
      <c r="F19" s="10">
        <v>0</v>
      </c>
      <c r="G19" s="10">
        <v>0</v>
      </c>
      <c r="H19" s="10">
        <v>1</v>
      </c>
      <c r="I19" s="216">
        <v>0</v>
      </c>
    </row>
    <row r="20" spans="1:9" x14ac:dyDescent="0.25">
      <c r="A20" s="8">
        <v>2002</v>
      </c>
      <c r="B20" s="10" t="s">
        <v>828</v>
      </c>
      <c r="C20" s="97" t="s">
        <v>845</v>
      </c>
      <c r="D20" s="214">
        <v>13495</v>
      </c>
      <c r="E20" s="215">
        <f t="shared" si="0"/>
        <v>3</v>
      </c>
      <c r="F20" s="10">
        <v>0</v>
      </c>
      <c r="G20" s="10">
        <v>0</v>
      </c>
      <c r="H20" s="10">
        <v>1</v>
      </c>
      <c r="I20" s="216">
        <v>0</v>
      </c>
    </row>
    <row r="21" spans="1:9" x14ac:dyDescent="0.25">
      <c r="A21" s="8">
        <v>1997</v>
      </c>
      <c r="B21" s="10" t="s">
        <v>828</v>
      </c>
      <c r="C21" s="97" t="s">
        <v>846</v>
      </c>
      <c r="D21" s="214">
        <v>6995</v>
      </c>
      <c r="E21" s="215">
        <f t="shared" si="0"/>
        <v>8</v>
      </c>
      <c r="F21" s="10">
        <v>0</v>
      </c>
      <c r="G21" s="10">
        <v>0</v>
      </c>
      <c r="H21" s="10">
        <v>1</v>
      </c>
      <c r="I21" s="216">
        <v>0</v>
      </c>
    </row>
    <row r="22" spans="1:9" x14ac:dyDescent="0.25">
      <c r="A22" s="8">
        <v>2002</v>
      </c>
      <c r="B22" s="10" t="s">
        <v>828</v>
      </c>
      <c r="C22" s="97" t="s">
        <v>847</v>
      </c>
      <c r="D22" s="214">
        <v>10995</v>
      </c>
      <c r="E22" s="215">
        <f t="shared" si="0"/>
        <v>3</v>
      </c>
      <c r="F22" s="10">
        <v>0</v>
      </c>
      <c r="G22" s="10">
        <v>0</v>
      </c>
      <c r="H22" s="10">
        <v>1</v>
      </c>
      <c r="I22" s="216">
        <v>0</v>
      </c>
    </row>
    <row r="23" spans="1:9" x14ac:dyDescent="0.25">
      <c r="A23" s="8">
        <v>2002</v>
      </c>
      <c r="B23" s="10" t="s">
        <v>828</v>
      </c>
      <c r="C23" s="97" t="s">
        <v>848</v>
      </c>
      <c r="D23" s="214">
        <v>10995</v>
      </c>
      <c r="E23" s="215">
        <f t="shared" si="0"/>
        <v>3</v>
      </c>
      <c r="F23" s="10">
        <v>0</v>
      </c>
      <c r="G23" s="10">
        <v>0</v>
      </c>
      <c r="H23" s="10">
        <v>1</v>
      </c>
      <c r="I23" s="216">
        <v>0</v>
      </c>
    </row>
    <row r="24" spans="1:9" x14ac:dyDescent="0.25">
      <c r="A24" s="8">
        <v>2002</v>
      </c>
      <c r="B24" s="10" t="s">
        <v>828</v>
      </c>
      <c r="C24" s="97" t="s">
        <v>849</v>
      </c>
      <c r="D24" s="214">
        <v>10995</v>
      </c>
      <c r="E24" s="215">
        <f t="shared" si="0"/>
        <v>3</v>
      </c>
      <c r="F24" s="10">
        <v>0</v>
      </c>
      <c r="G24" s="10">
        <v>0</v>
      </c>
      <c r="H24" s="10">
        <v>1</v>
      </c>
      <c r="I24" s="216">
        <v>0</v>
      </c>
    </row>
    <row r="25" spans="1:9" x14ac:dyDescent="0.25">
      <c r="A25" s="8">
        <v>2002</v>
      </c>
      <c r="B25" s="10" t="s">
        <v>828</v>
      </c>
      <c r="C25" s="97" t="s">
        <v>850</v>
      </c>
      <c r="D25" s="214">
        <v>15992</v>
      </c>
      <c r="E25" s="215">
        <f t="shared" si="0"/>
        <v>3</v>
      </c>
      <c r="F25" s="10">
        <v>0</v>
      </c>
      <c r="G25" s="10">
        <v>0</v>
      </c>
      <c r="H25" s="10">
        <v>1</v>
      </c>
      <c r="I25" s="216">
        <v>0</v>
      </c>
    </row>
    <row r="26" spans="1:9" x14ac:dyDescent="0.25">
      <c r="A26" s="8">
        <v>2002</v>
      </c>
      <c r="B26" s="10" t="s">
        <v>828</v>
      </c>
      <c r="C26" s="97" t="s">
        <v>851</v>
      </c>
      <c r="D26" s="214">
        <v>10980</v>
      </c>
      <c r="E26" s="215">
        <f t="shared" si="0"/>
        <v>3</v>
      </c>
      <c r="F26" s="10">
        <v>0</v>
      </c>
      <c r="G26" s="10">
        <v>0</v>
      </c>
      <c r="H26" s="10">
        <v>1</v>
      </c>
      <c r="I26" s="216">
        <v>0</v>
      </c>
    </row>
    <row r="27" spans="1:9" x14ac:dyDescent="0.25">
      <c r="A27" s="8">
        <v>2001</v>
      </c>
      <c r="B27" s="10" t="s">
        <v>828</v>
      </c>
      <c r="C27" s="97" t="s">
        <v>852</v>
      </c>
      <c r="D27" s="214">
        <v>10995</v>
      </c>
      <c r="E27" s="215">
        <f t="shared" si="0"/>
        <v>4</v>
      </c>
      <c r="F27" s="10">
        <v>0</v>
      </c>
      <c r="G27" s="10">
        <v>0</v>
      </c>
      <c r="H27" s="10">
        <v>1</v>
      </c>
      <c r="I27" s="216">
        <v>0</v>
      </c>
    </row>
    <row r="28" spans="1:9" x14ac:dyDescent="0.25">
      <c r="A28" s="8">
        <v>2002</v>
      </c>
      <c r="B28" s="10" t="s">
        <v>828</v>
      </c>
      <c r="C28" s="97" t="s">
        <v>853</v>
      </c>
      <c r="D28" s="214">
        <v>12998</v>
      </c>
      <c r="E28" s="215">
        <f t="shared" si="0"/>
        <v>3</v>
      </c>
      <c r="F28" s="10">
        <v>0</v>
      </c>
      <c r="G28" s="10">
        <v>0</v>
      </c>
      <c r="H28" s="10">
        <v>1</v>
      </c>
      <c r="I28" s="216">
        <v>0</v>
      </c>
    </row>
    <row r="29" spans="1:9" x14ac:dyDescent="0.25">
      <c r="A29" s="8">
        <v>2002</v>
      </c>
      <c r="B29" s="10" t="s">
        <v>828</v>
      </c>
      <c r="C29" s="97" t="s">
        <v>854</v>
      </c>
      <c r="D29" s="214">
        <v>11495</v>
      </c>
      <c r="E29" s="215">
        <f t="shared" si="0"/>
        <v>3</v>
      </c>
      <c r="F29" s="10">
        <v>0</v>
      </c>
      <c r="G29" s="10">
        <v>0</v>
      </c>
      <c r="H29" s="10">
        <v>1</v>
      </c>
      <c r="I29" s="216">
        <v>0</v>
      </c>
    </row>
    <row r="30" spans="1:9" x14ac:dyDescent="0.25">
      <c r="A30" s="8">
        <v>1997</v>
      </c>
      <c r="B30" s="10" t="s">
        <v>828</v>
      </c>
      <c r="C30" s="97" t="s">
        <v>855</v>
      </c>
      <c r="D30" s="214">
        <v>8998</v>
      </c>
      <c r="E30" s="215">
        <f t="shared" si="0"/>
        <v>8</v>
      </c>
      <c r="F30" s="10">
        <v>0</v>
      </c>
      <c r="G30" s="10">
        <v>0</v>
      </c>
      <c r="H30" s="10">
        <v>1</v>
      </c>
      <c r="I30" s="216">
        <v>0</v>
      </c>
    </row>
    <row r="31" spans="1:9" x14ac:dyDescent="0.25">
      <c r="A31" s="8">
        <v>2002</v>
      </c>
      <c r="B31" s="10" t="s">
        <v>828</v>
      </c>
      <c r="C31" s="97" t="s">
        <v>856</v>
      </c>
      <c r="D31" s="214">
        <v>14995</v>
      </c>
      <c r="E31" s="215">
        <f t="shared" si="0"/>
        <v>3</v>
      </c>
      <c r="F31" s="10">
        <v>0</v>
      </c>
      <c r="G31" s="10">
        <v>0</v>
      </c>
      <c r="H31" s="10">
        <v>1</v>
      </c>
      <c r="I31" s="216">
        <v>0</v>
      </c>
    </row>
    <row r="32" spans="1:9" x14ac:dyDescent="0.25">
      <c r="A32" s="8">
        <v>2002</v>
      </c>
      <c r="B32" s="10" t="s">
        <v>828</v>
      </c>
      <c r="C32" s="97" t="s">
        <v>857</v>
      </c>
      <c r="D32" s="214">
        <v>15495</v>
      </c>
      <c r="E32" s="215">
        <f t="shared" si="0"/>
        <v>3</v>
      </c>
      <c r="F32" s="10">
        <v>0</v>
      </c>
      <c r="G32" s="10">
        <v>0</v>
      </c>
      <c r="H32" s="10">
        <v>1</v>
      </c>
      <c r="I32" s="216">
        <v>0</v>
      </c>
    </row>
    <row r="33" spans="1:9" x14ac:dyDescent="0.25">
      <c r="A33" s="8">
        <v>1999</v>
      </c>
      <c r="B33" s="10" t="s">
        <v>828</v>
      </c>
      <c r="C33" s="97" t="s">
        <v>858</v>
      </c>
      <c r="D33" s="214">
        <v>8995</v>
      </c>
      <c r="E33" s="215">
        <f t="shared" si="0"/>
        <v>6</v>
      </c>
      <c r="F33" s="10">
        <v>0</v>
      </c>
      <c r="G33" s="10">
        <v>0</v>
      </c>
      <c r="H33" s="10">
        <v>1</v>
      </c>
      <c r="I33" s="216">
        <v>0</v>
      </c>
    </row>
    <row r="34" spans="1:9" x14ac:dyDescent="0.25">
      <c r="A34" s="8">
        <v>2001</v>
      </c>
      <c r="B34" s="10" t="s">
        <v>828</v>
      </c>
      <c r="C34" s="97" t="s">
        <v>859</v>
      </c>
      <c r="D34" s="214">
        <v>11988</v>
      </c>
      <c r="E34" s="215">
        <f t="shared" si="0"/>
        <v>4</v>
      </c>
      <c r="F34" s="10">
        <v>0</v>
      </c>
      <c r="G34" s="10">
        <v>0</v>
      </c>
      <c r="H34" s="10">
        <v>1</v>
      </c>
      <c r="I34" s="216">
        <v>0</v>
      </c>
    </row>
    <row r="35" spans="1:9" x14ac:dyDescent="0.25">
      <c r="A35" s="8">
        <v>2001</v>
      </c>
      <c r="B35" s="10" t="s">
        <v>828</v>
      </c>
      <c r="C35" s="97" t="s">
        <v>860</v>
      </c>
      <c r="D35" s="214">
        <v>13995</v>
      </c>
      <c r="E35" s="215">
        <f t="shared" si="0"/>
        <v>4</v>
      </c>
      <c r="F35" s="10">
        <v>0</v>
      </c>
      <c r="G35" s="10">
        <v>0</v>
      </c>
      <c r="H35" s="10">
        <v>1</v>
      </c>
      <c r="I35" s="216">
        <v>0</v>
      </c>
    </row>
    <row r="36" spans="1:9" x14ac:dyDescent="0.25">
      <c r="A36" s="8">
        <v>1999</v>
      </c>
      <c r="B36" s="10" t="s">
        <v>828</v>
      </c>
      <c r="C36" s="97" t="s">
        <v>861</v>
      </c>
      <c r="D36" s="214">
        <v>10995</v>
      </c>
      <c r="E36" s="215">
        <f t="shared" si="0"/>
        <v>6</v>
      </c>
      <c r="F36" s="10">
        <v>0</v>
      </c>
      <c r="G36" s="10">
        <v>0</v>
      </c>
      <c r="H36" s="10">
        <v>1</v>
      </c>
      <c r="I36" s="216">
        <v>0</v>
      </c>
    </row>
    <row r="37" spans="1:9" x14ac:dyDescent="0.25">
      <c r="A37" s="8">
        <v>2002</v>
      </c>
      <c r="B37" s="10" t="s">
        <v>828</v>
      </c>
      <c r="C37" s="97" t="s">
        <v>862</v>
      </c>
      <c r="D37" s="214">
        <v>17492</v>
      </c>
      <c r="E37" s="215">
        <f t="shared" si="0"/>
        <v>3</v>
      </c>
      <c r="F37" s="10">
        <v>0</v>
      </c>
      <c r="G37" s="10">
        <v>0</v>
      </c>
      <c r="H37" s="10">
        <v>1</v>
      </c>
      <c r="I37" s="216">
        <v>0</v>
      </c>
    </row>
    <row r="38" spans="1:9" x14ac:dyDescent="0.25">
      <c r="A38" s="8">
        <v>2001</v>
      </c>
      <c r="B38" s="10" t="s">
        <v>828</v>
      </c>
      <c r="C38" s="97" t="s">
        <v>863</v>
      </c>
      <c r="D38" s="214">
        <v>7995</v>
      </c>
      <c r="E38" s="215">
        <f t="shared" si="0"/>
        <v>4</v>
      </c>
      <c r="F38" s="10">
        <v>0</v>
      </c>
      <c r="G38" s="10">
        <v>0</v>
      </c>
      <c r="H38" s="10">
        <v>1</v>
      </c>
      <c r="I38" s="216">
        <v>0</v>
      </c>
    </row>
    <row r="39" spans="1:9" x14ac:dyDescent="0.25">
      <c r="A39" s="8">
        <v>2000</v>
      </c>
      <c r="B39" s="10" t="s">
        <v>828</v>
      </c>
      <c r="C39" s="97" t="s">
        <v>864</v>
      </c>
      <c r="D39" s="214">
        <v>8995</v>
      </c>
      <c r="E39" s="215">
        <f t="shared" si="0"/>
        <v>5</v>
      </c>
      <c r="F39" s="10">
        <v>0</v>
      </c>
      <c r="G39" s="10">
        <v>1</v>
      </c>
      <c r="H39" s="10">
        <v>0</v>
      </c>
      <c r="I39" s="216">
        <v>0</v>
      </c>
    </row>
    <row r="40" spans="1:9" x14ac:dyDescent="0.25">
      <c r="A40" s="8">
        <v>1999</v>
      </c>
      <c r="B40" s="10" t="s">
        <v>828</v>
      </c>
      <c r="C40" s="97" t="s">
        <v>865</v>
      </c>
      <c r="D40" s="214">
        <v>7995</v>
      </c>
      <c r="E40" s="215">
        <f t="shared" si="0"/>
        <v>6</v>
      </c>
      <c r="F40" s="10">
        <v>1</v>
      </c>
      <c r="G40" s="10">
        <v>0</v>
      </c>
      <c r="H40" s="10">
        <v>0</v>
      </c>
      <c r="I40" s="216">
        <v>0</v>
      </c>
    </row>
    <row r="41" spans="1:9" x14ac:dyDescent="0.25">
      <c r="A41" s="8">
        <v>2001</v>
      </c>
      <c r="B41" s="10" t="s">
        <v>828</v>
      </c>
      <c r="C41" s="97" t="s">
        <v>865</v>
      </c>
      <c r="D41" s="214">
        <v>11977</v>
      </c>
      <c r="E41" s="215">
        <f t="shared" si="0"/>
        <v>4</v>
      </c>
      <c r="F41" s="10">
        <v>1</v>
      </c>
      <c r="G41" s="10">
        <v>0</v>
      </c>
      <c r="H41" s="10">
        <v>0</v>
      </c>
      <c r="I41" s="216">
        <v>0</v>
      </c>
    </row>
    <row r="42" spans="1:9" x14ac:dyDescent="0.25">
      <c r="A42" s="8">
        <v>1998</v>
      </c>
      <c r="B42" s="10" t="s">
        <v>828</v>
      </c>
      <c r="C42" s="97" t="s">
        <v>865</v>
      </c>
      <c r="D42" s="214">
        <v>7975</v>
      </c>
      <c r="E42" s="215">
        <f t="shared" si="0"/>
        <v>7</v>
      </c>
      <c r="F42" s="10">
        <v>1</v>
      </c>
      <c r="G42" s="10">
        <v>0</v>
      </c>
      <c r="H42" s="10">
        <v>0</v>
      </c>
      <c r="I42" s="216">
        <v>0</v>
      </c>
    </row>
    <row r="43" spans="1:9" x14ac:dyDescent="0.25">
      <c r="A43" s="8">
        <v>2002</v>
      </c>
      <c r="B43" s="10" t="s">
        <v>828</v>
      </c>
      <c r="C43" s="97" t="s">
        <v>866</v>
      </c>
      <c r="D43" s="214">
        <v>9995</v>
      </c>
      <c r="E43" s="215">
        <f t="shared" si="0"/>
        <v>3</v>
      </c>
      <c r="F43" s="10">
        <v>1</v>
      </c>
      <c r="G43" s="10">
        <v>0</v>
      </c>
      <c r="H43" s="10">
        <v>0</v>
      </c>
      <c r="I43" s="216">
        <v>0</v>
      </c>
    </row>
    <row r="44" spans="1:9" x14ac:dyDescent="0.25">
      <c r="A44" s="8">
        <v>2002</v>
      </c>
      <c r="B44" s="10" t="s">
        <v>828</v>
      </c>
      <c r="C44" s="97" t="s">
        <v>867</v>
      </c>
      <c r="D44" s="214">
        <v>13892</v>
      </c>
      <c r="E44" s="215">
        <f t="shared" si="0"/>
        <v>3</v>
      </c>
      <c r="F44" s="10">
        <v>1</v>
      </c>
      <c r="G44" s="10">
        <v>0</v>
      </c>
      <c r="H44" s="10">
        <v>0</v>
      </c>
      <c r="I44" s="216">
        <v>0</v>
      </c>
    </row>
    <row r="45" spans="1:9" x14ac:dyDescent="0.25">
      <c r="A45" s="8">
        <v>2000</v>
      </c>
      <c r="B45" s="10" t="s">
        <v>828</v>
      </c>
      <c r="C45" s="97" t="s">
        <v>868</v>
      </c>
      <c r="D45" s="214">
        <v>15998</v>
      </c>
      <c r="E45" s="215">
        <f t="shared" si="0"/>
        <v>5</v>
      </c>
      <c r="F45" s="10">
        <v>1</v>
      </c>
      <c r="G45" s="10">
        <v>0</v>
      </c>
      <c r="H45" s="10">
        <v>0</v>
      </c>
      <c r="I45" s="216">
        <v>0</v>
      </c>
    </row>
    <row r="46" spans="1:9" x14ac:dyDescent="0.25">
      <c r="A46" s="8">
        <v>2002</v>
      </c>
      <c r="B46" s="10" t="s">
        <v>828</v>
      </c>
      <c r="C46" s="97" t="s">
        <v>869</v>
      </c>
      <c r="D46" s="214">
        <v>15923</v>
      </c>
      <c r="E46" s="215">
        <f t="shared" si="0"/>
        <v>3</v>
      </c>
      <c r="F46" s="10">
        <v>1</v>
      </c>
      <c r="G46" s="10">
        <v>0</v>
      </c>
      <c r="H46" s="10">
        <v>0</v>
      </c>
      <c r="I46" s="216">
        <v>0</v>
      </c>
    </row>
    <row r="47" spans="1:9" x14ac:dyDescent="0.25">
      <c r="A47" s="8">
        <v>2000</v>
      </c>
      <c r="B47" s="10" t="s">
        <v>828</v>
      </c>
      <c r="C47" s="97" t="s">
        <v>870</v>
      </c>
      <c r="D47" s="214">
        <v>14495</v>
      </c>
      <c r="E47" s="215">
        <f t="shared" si="0"/>
        <v>5</v>
      </c>
      <c r="F47" s="10">
        <v>1</v>
      </c>
      <c r="G47" s="10">
        <v>0</v>
      </c>
      <c r="H47" s="10">
        <v>0</v>
      </c>
      <c r="I47" s="216">
        <v>0</v>
      </c>
    </row>
    <row r="48" spans="1:9" x14ac:dyDescent="0.25">
      <c r="A48" s="8">
        <v>2001</v>
      </c>
      <c r="B48" s="10" t="s">
        <v>828</v>
      </c>
      <c r="C48" s="97" t="s">
        <v>871</v>
      </c>
      <c r="D48" s="214">
        <v>20500</v>
      </c>
      <c r="E48" s="215">
        <f t="shared" si="0"/>
        <v>4</v>
      </c>
      <c r="F48" s="10">
        <v>1</v>
      </c>
      <c r="G48" s="10">
        <v>0</v>
      </c>
      <c r="H48" s="10">
        <v>0</v>
      </c>
      <c r="I48" s="216">
        <v>0</v>
      </c>
    </row>
    <row r="49" spans="1:9" x14ac:dyDescent="0.25">
      <c r="A49" s="8">
        <v>2002</v>
      </c>
      <c r="B49" s="10" t="s">
        <v>828</v>
      </c>
      <c r="C49" s="97" t="s">
        <v>872</v>
      </c>
      <c r="D49" s="214">
        <v>12995</v>
      </c>
      <c r="E49" s="215">
        <f t="shared" si="0"/>
        <v>3</v>
      </c>
      <c r="F49" s="10">
        <v>1</v>
      </c>
      <c r="G49" s="10">
        <v>0</v>
      </c>
      <c r="H49" s="10">
        <v>0</v>
      </c>
      <c r="I49" s="216">
        <v>0</v>
      </c>
    </row>
    <row r="50" spans="1:9" x14ac:dyDescent="0.25">
      <c r="A50" s="8">
        <v>1995</v>
      </c>
      <c r="B50" s="10" t="s">
        <v>828</v>
      </c>
      <c r="C50" s="97" t="s">
        <v>873</v>
      </c>
      <c r="D50" s="214">
        <v>7995</v>
      </c>
      <c r="E50" s="215">
        <f t="shared" si="0"/>
        <v>10</v>
      </c>
      <c r="F50" s="10">
        <v>1</v>
      </c>
      <c r="G50" s="10">
        <v>0</v>
      </c>
      <c r="H50" s="10">
        <v>0</v>
      </c>
      <c r="I50" s="216">
        <v>0</v>
      </c>
    </row>
    <row r="51" spans="1:9" x14ac:dyDescent="0.25">
      <c r="A51" s="8">
        <v>1998</v>
      </c>
      <c r="B51" s="10" t="s">
        <v>828</v>
      </c>
      <c r="C51" s="97" t="s">
        <v>874</v>
      </c>
      <c r="D51" s="214">
        <v>9995</v>
      </c>
      <c r="E51" s="215">
        <f t="shared" si="0"/>
        <v>7</v>
      </c>
      <c r="F51" s="10">
        <v>1</v>
      </c>
      <c r="G51" s="10">
        <v>0</v>
      </c>
      <c r="H51" s="10">
        <v>0</v>
      </c>
      <c r="I51" s="216">
        <v>0</v>
      </c>
    </row>
    <row r="52" spans="1:9" x14ac:dyDescent="0.25">
      <c r="A52" s="8">
        <v>1998</v>
      </c>
      <c r="B52" s="10" t="s">
        <v>828</v>
      </c>
      <c r="C52" s="97" t="s">
        <v>874</v>
      </c>
      <c r="D52" s="214">
        <v>7980</v>
      </c>
      <c r="E52" s="215">
        <f t="shared" si="0"/>
        <v>7</v>
      </c>
      <c r="F52" s="10">
        <v>1</v>
      </c>
      <c r="G52" s="10">
        <v>0</v>
      </c>
      <c r="H52" s="10">
        <v>0</v>
      </c>
      <c r="I52" s="216">
        <v>0</v>
      </c>
    </row>
    <row r="53" spans="1:9" x14ac:dyDescent="0.25">
      <c r="A53" s="8">
        <v>1991</v>
      </c>
      <c r="B53" s="10" t="s">
        <v>828</v>
      </c>
      <c r="C53" s="97" t="s">
        <v>875</v>
      </c>
      <c r="D53" s="214">
        <v>3995</v>
      </c>
      <c r="E53" s="215">
        <f t="shared" si="0"/>
        <v>14</v>
      </c>
      <c r="F53" s="10">
        <v>1</v>
      </c>
      <c r="G53" s="10">
        <v>0</v>
      </c>
      <c r="H53" s="10">
        <v>0</v>
      </c>
      <c r="I53" s="216">
        <v>0</v>
      </c>
    </row>
    <row r="54" spans="1:9" x14ac:dyDescent="0.25">
      <c r="A54" s="8">
        <v>1996</v>
      </c>
      <c r="B54" s="10" t="s">
        <v>828</v>
      </c>
      <c r="C54" s="97" t="s">
        <v>876</v>
      </c>
      <c r="D54" s="214">
        <v>8995</v>
      </c>
      <c r="E54" s="215">
        <f t="shared" si="0"/>
        <v>9</v>
      </c>
      <c r="F54" s="10">
        <v>1</v>
      </c>
      <c r="G54" s="10">
        <v>0</v>
      </c>
      <c r="H54" s="10">
        <v>0</v>
      </c>
      <c r="I54" s="216">
        <v>0</v>
      </c>
    </row>
    <row r="55" spans="1:9" x14ac:dyDescent="0.25">
      <c r="A55" s="8">
        <v>2004</v>
      </c>
      <c r="B55" s="10" t="s">
        <v>828</v>
      </c>
      <c r="C55" s="97" t="s">
        <v>877</v>
      </c>
      <c r="D55" s="214">
        <v>10495</v>
      </c>
      <c r="E55" s="215">
        <f t="shared" si="0"/>
        <v>1</v>
      </c>
      <c r="F55" s="10">
        <v>1</v>
      </c>
      <c r="G55" s="10">
        <v>0</v>
      </c>
      <c r="H55" s="10">
        <v>0</v>
      </c>
      <c r="I55" s="216">
        <v>0</v>
      </c>
    </row>
    <row r="56" spans="1:9" x14ac:dyDescent="0.25">
      <c r="A56" s="8">
        <v>1999</v>
      </c>
      <c r="B56" s="10" t="s">
        <v>828</v>
      </c>
      <c r="C56" s="97" t="s">
        <v>877</v>
      </c>
      <c r="D56" s="214">
        <v>3895</v>
      </c>
      <c r="E56" s="215">
        <f t="shared" si="0"/>
        <v>6</v>
      </c>
      <c r="F56" s="10">
        <v>1</v>
      </c>
      <c r="G56" s="10">
        <v>0</v>
      </c>
      <c r="H56" s="10">
        <v>0</v>
      </c>
      <c r="I56" s="216">
        <v>0</v>
      </c>
    </row>
    <row r="57" spans="1:9" x14ac:dyDescent="0.25">
      <c r="A57" s="8">
        <v>2002</v>
      </c>
      <c r="B57" s="10" t="s">
        <v>828</v>
      </c>
      <c r="C57" s="97" t="s">
        <v>877</v>
      </c>
      <c r="D57" s="214">
        <v>7595</v>
      </c>
      <c r="E57" s="215">
        <f t="shared" si="0"/>
        <v>3</v>
      </c>
      <c r="F57" s="10">
        <v>1</v>
      </c>
      <c r="G57" s="10">
        <v>0</v>
      </c>
      <c r="H57" s="10">
        <v>0</v>
      </c>
      <c r="I57" s="216">
        <v>0</v>
      </c>
    </row>
    <row r="58" spans="1:9" x14ac:dyDescent="0.25">
      <c r="A58" s="8">
        <v>2003</v>
      </c>
      <c r="B58" s="10" t="s">
        <v>828</v>
      </c>
      <c r="C58" s="97" t="s">
        <v>877</v>
      </c>
      <c r="D58" s="214">
        <v>9995</v>
      </c>
      <c r="E58" s="215">
        <f t="shared" si="0"/>
        <v>2</v>
      </c>
      <c r="F58" s="10">
        <v>1</v>
      </c>
      <c r="G58" s="10">
        <v>0</v>
      </c>
      <c r="H58" s="10">
        <v>0</v>
      </c>
      <c r="I58" s="216">
        <v>0</v>
      </c>
    </row>
    <row r="59" spans="1:9" x14ac:dyDescent="0.25">
      <c r="A59" s="8">
        <v>2004</v>
      </c>
      <c r="B59" s="10" t="s">
        <v>828</v>
      </c>
      <c r="C59" s="97" t="s">
        <v>877</v>
      </c>
      <c r="D59" s="214">
        <v>9999</v>
      </c>
      <c r="E59" s="215">
        <f t="shared" si="0"/>
        <v>1</v>
      </c>
      <c r="F59" s="10">
        <v>1</v>
      </c>
      <c r="G59" s="10">
        <v>0</v>
      </c>
      <c r="H59" s="10">
        <v>0</v>
      </c>
      <c r="I59" s="216">
        <v>0</v>
      </c>
    </row>
    <row r="60" spans="1:9" x14ac:dyDescent="0.25">
      <c r="A60" s="8">
        <v>2003</v>
      </c>
      <c r="B60" s="10" t="s">
        <v>828</v>
      </c>
      <c r="C60" s="97" t="s">
        <v>878</v>
      </c>
      <c r="D60" s="214">
        <v>8995</v>
      </c>
      <c r="E60" s="215">
        <f t="shared" si="0"/>
        <v>2</v>
      </c>
      <c r="F60" s="10">
        <v>1</v>
      </c>
      <c r="G60" s="10">
        <v>0</v>
      </c>
      <c r="H60" s="10">
        <v>0</v>
      </c>
      <c r="I60" s="216">
        <v>0</v>
      </c>
    </row>
    <row r="61" spans="1:9" x14ac:dyDescent="0.25">
      <c r="A61" s="8">
        <v>2002</v>
      </c>
      <c r="B61" s="10" t="s">
        <v>828</v>
      </c>
      <c r="C61" s="97" t="s">
        <v>879</v>
      </c>
      <c r="D61" s="214">
        <v>10990</v>
      </c>
      <c r="E61" s="215">
        <f t="shared" si="0"/>
        <v>3</v>
      </c>
      <c r="F61" s="10">
        <v>1</v>
      </c>
      <c r="G61" s="10">
        <v>0</v>
      </c>
      <c r="H61" s="10">
        <v>0</v>
      </c>
      <c r="I61" s="216">
        <v>0</v>
      </c>
    </row>
    <row r="62" spans="1:9" x14ac:dyDescent="0.25">
      <c r="A62" s="8">
        <v>1997</v>
      </c>
      <c r="B62" s="10" t="s">
        <v>828</v>
      </c>
      <c r="C62" s="97" t="s">
        <v>880</v>
      </c>
      <c r="D62" s="214">
        <v>3784</v>
      </c>
      <c r="E62" s="215">
        <f t="shared" si="0"/>
        <v>8</v>
      </c>
      <c r="F62" s="10">
        <v>1</v>
      </c>
      <c r="G62" s="10">
        <v>0</v>
      </c>
      <c r="H62" s="10">
        <v>0</v>
      </c>
      <c r="I62" s="216">
        <v>0</v>
      </c>
    </row>
    <row r="63" spans="1:9" x14ac:dyDescent="0.25">
      <c r="A63" s="8">
        <v>2002</v>
      </c>
      <c r="B63" s="10" t="s">
        <v>828</v>
      </c>
      <c r="C63" s="97" t="s">
        <v>881</v>
      </c>
      <c r="D63" s="214">
        <v>5995</v>
      </c>
      <c r="E63" s="215">
        <f t="shared" si="0"/>
        <v>3</v>
      </c>
      <c r="F63" s="10">
        <v>1</v>
      </c>
      <c r="G63" s="10">
        <v>0</v>
      </c>
      <c r="H63" s="10">
        <v>0</v>
      </c>
      <c r="I63" s="216">
        <v>0</v>
      </c>
    </row>
    <row r="64" spans="1:9" x14ac:dyDescent="0.25">
      <c r="A64" s="8">
        <v>2002</v>
      </c>
      <c r="B64" s="10" t="s">
        <v>828</v>
      </c>
      <c r="C64" s="97" t="s">
        <v>882</v>
      </c>
      <c r="D64" s="214">
        <v>9995</v>
      </c>
      <c r="E64" s="215">
        <f t="shared" si="0"/>
        <v>3</v>
      </c>
      <c r="F64" s="10">
        <v>1</v>
      </c>
      <c r="G64" s="10">
        <v>0</v>
      </c>
      <c r="H64" s="10">
        <v>0</v>
      </c>
      <c r="I64" s="216">
        <v>0</v>
      </c>
    </row>
    <row r="65" spans="1:9" x14ac:dyDescent="0.25">
      <c r="A65" s="8">
        <v>2003</v>
      </c>
      <c r="B65" s="10" t="s">
        <v>828</v>
      </c>
      <c r="C65" s="97" t="s">
        <v>882</v>
      </c>
      <c r="D65" s="214">
        <v>9495</v>
      </c>
      <c r="E65" s="215">
        <f t="shared" si="0"/>
        <v>2</v>
      </c>
      <c r="F65" s="10">
        <v>1</v>
      </c>
      <c r="G65" s="10">
        <v>0</v>
      </c>
      <c r="H65" s="10">
        <v>0</v>
      </c>
      <c r="I65" s="216">
        <v>0</v>
      </c>
    </row>
    <row r="66" spans="1:9" x14ac:dyDescent="0.25">
      <c r="A66" s="8">
        <v>2003</v>
      </c>
      <c r="B66" s="10" t="s">
        <v>828</v>
      </c>
      <c r="C66" s="97" t="s">
        <v>882</v>
      </c>
      <c r="D66" s="214">
        <v>9988</v>
      </c>
      <c r="E66" s="215">
        <f t="shared" ref="E66:E129" si="1">2005-A66</f>
        <v>2</v>
      </c>
      <c r="F66" s="10">
        <v>1</v>
      </c>
      <c r="G66" s="10">
        <v>0</v>
      </c>
      <c r="H66" s="10">
        <v>0</v>
      </c>
      <c r="I66" s="216">
        <v>0</v>
      </c>
    </row>
    <row r="67" spans="1:9" x14ac:dyDescent="0.25">
      <c r="A67" s="8">
        <v>2002</v>
      </c>
      <c r="B67" s="10" t="s">
        <v>828</v>
      </c>
      <c r="C67" s="97" t="s">
        <v>883</v>
      </c>
      <c r="D67" s="214">
        <v>7995</v>
      </c>
      <c r="E67" s="215">
        <f t="shared" si="1"/>
        <v>3</v>
      </c>
      <c r="F67" s="10">
        <v>1</v>
      </c>
      <c r="G67" s="10">
        <v>0</v>
      </c>
      <c r="H67" s="10">
        <v>0</v>
      </c>
      <c r="I67" s="216">
        <v>0</v>
      </c>
    </row>
    <row r="68" spans="1:9" x14ac:dyDescent="0.25">
      <c r="A68" s="8">
        <v>2001</v>
      </c>
      <c r="B68" s="10" t="s">
        <v>828</v>
      </c>
      <c r="C68" s="97" t="s">
        <v>884</v>
      </c>
      <c r="D68" s="214">
        <v>9995</v>
      </c>
      <c r="E68" s="215">
        <f t="shared" si="1"/>
        <v>4</v>
      </c>
      <c r="F68" s="10">
        <v>1</v>
      </c>
      <c r="G68" s="10">
        <v>0</v>
      </c>
      <c r="H68" s="10">
        <v>0</v>
      </c>
      <c r="I68" s="216">
        <v>0</v>
      </c>
    </row>
    <row r="69" spans="1:9" x14ac:dyDescent="0.25">
      <c r="A69" s="8">
        <v>2001</v>
      </c>
      <c r="B69" s="10" t="s">
        <v>828</v>
      </c>
      <c r="C69" s="97" t="s">
        <v>884</v>
      </c>
      <c r="D69" s="214">
        <v>7998</v>
      </c>
      <c r="E69" s="215">
        <f t="shared" si="1"/>
        <v>4</v>
      </c>
      <c r="F69" s="10">
        <v>1</v>
      </c>
      <c r="G69" s="10">
        <v>0</v>
      </c>
      <c r="H69" s="10">
        <v>0</v>
      </c>
      <c r="I69" s="216">
        <v>0</v>
      </c>
    </row>
    <row r="70" spans="1:9" x14ac:dyDescent="0.25">
      <c r="A70" s="8">
        <v>2001</v>
      </c>
      <c r="B70" s="10" t="s">
        <v>828</v>
      </c>
      <c r="C70" s="97" t="s">
        <v>884</v>
      </c>
      <c r="D70" s="214">
        <v>7295</v>
      </c>
      <c r="E70" s="215">
        <f t="shared" si="1"/>
        <v>4</v>
      </c>
      <c r="F70" s="10">
        <v>1</v>
      </c>
      <c r="G70" s="10">
        <v>0</v>
      </c>
      <c r="H70" s="10">
        <v>0</v>
      </c>
      <c r="I70" s="216">
        <v>0</v>
      </c>
    </row>
    <row r="71" spans="1:9" x14ac:dyDescent="0.25">
      <c r="A71" s="8">
        <v>2001</v>
      </c>
      <c r="B71" s="10" t="s">
        <v>828</v>
      </c>
      <c r="C71" s="97" t="s">
        <v>885</v>
      </c>
      <c r="D71" s="214">
        <v>8523</v>
      </c>
      <c r="E71" s="215">
        <f t="shared" si="1"/>
        <v>4</v>
      </c>
      <c r="F71" s="10">
        <v>1</v>
      </c>
      <c r="G71" s="10">
        <v>0</v>
      </c>
      <c r="H71" s="10">
        <v>0</v>
      </c>
      <c r="I71" s="216">
        <v>0</v>
      </c>
    </row>
    <row r="72" spans="1:9" x14ac:dyDescent="0.25">
      <c r="A72" s="8">
        <v>1999</v>
      </c>
      <c r="B72" s="10" t="s">
        <v>828</v>
      </c>
      <c r="C72" s="97" t="s">
        <v>886</v>
      </c>
      <c r="D72" s="214">
        <v>8999</v>
      </c>
      <c r="E72" s="215">
        <f t="shared" si="1"/>
        <v>6</v>
      </c>
      <c r="F72" s="10">
        <v>1</v>
      </c>
      <c r="G72" s="10">
        <v>0</v>
      </c>
      <c r="H72" s="10">
        <v>0</v>
      </c>
      <c r="I72" s="216">
        <v>0</v>
      </c>
    </row>
    <row r="73" spans="1:9" x14ac:dyDescent="0.25">
      <c r="A73" s="8">
        <v>2000</v>
      </c>
      <c r="B73" s="10" t="s">
        <v>828</v>
      </c>
      <c r="C73" s="97" t="s">
        <v>886</v>
      </c>
      <c r="D73" s="214">
        <v>8796</v>
      </c>
      <c r="E73" s="215">
        <f t="shared" si="1"/>
        <v>5</v>
      </c>
      <c r="F73" s="10">
        <v>1</v>
      </c>
      <c r="G73" s="10">
        <v>0</v>
      </c>
      <c r="H73" s="10">
        <v>0</v>
      </c>
      <c r="I73" s="216">
        <v>0</v>
      </c>
    </row>
    <row r="74" spans="1:9" x14ac:dyDescent="0.25">
      <c r="A74" s="8">
        <v>2002</v>
      </c>
      <c r="B74" s="10" t="s">
        <v>828</v>
      </c>
      <c r="C74" s="97" t="s">
        <v>887</v>
      </c>
      <c r="D74" s="214">
        <v>16488</v>
      </c>
      <c r="E74" s="215">
        <f t="shared" si="1"/>
        <v>3</v>
      </c>
      <c r="F74" s="10">
        <v>0</v>
      </c>
      <c r="G74" s="10">
        <v>1</v>
      </c>
      <c r="H74" s="10">
        <v>0</v>
      </c>
      <c r="I74" s="216">
        <v>0</v>
      </c>
    </row>
    <row r="75" spans="1:9" x14ac:dyDescent="0.25">
      <c r="A75" s="8">
        <v>1998</v>
      </c>
      <c r="B75" s="10" t="s">
        <v>828</v>
      </c>
      <c r="C75" s="97" t="s">
        <v>888</v>
      </c>
      <c r="D75" s="214">
        <v>9995</v>
      </c>
      <c r="E75" s="215">
        <f t="shared" si="1"/>
        <v>7</v>
      </c>
      <c r="F75" s="10">
        <v>0</v>
      </c>
      <c r="G75" s="10">
        <v>1</v>
      </c>
      <c r="H75" s="10">
        <v>0</v>
      </c>
      <c r="I75" s="216">
        <v>0</v>
      </c>
    </row>
    <row r="76" spans="1:9" x14ac:dyDescent="0.25">
      <c r="A76" s="8">
        <v>2002</v>
      </c>
      <c r="B76" s="10" t="s">
        <v>889</v>
      </c>
      <c r="C76" s="97" t="s">
        <v>890</v>
      </c>
      <c r="D76" s="214">
        <v>13900</v>
      </c>
      <c r="E76" s="215">
        <f t="shared" si="1"/>
        <v>3</v>
      </c>
      <c r="F76" s="10">
        <v>1</v>
      </c>
      <c r="G76" s="10">
        <v>0</v>
      </c>
      <c r="H76" s="10">
        <v>0</v>
      </c>
      <c r="I76" s="216">
        <v>0</v>
      </c>
    </row>
    <row r="77" spans="1:9" x14ac:dyDescent="0.25">
      <c r="A77" s="8">
        <v>1999</v>
      </c>
      <c r="B77" s="10" t="s">
        <v>889</v>
      </c>
      <c r="C77" s="97" t="s">
        <v>891</v>
      </c>
      <c r="D77" s="214">
        <v>6480</v>
      </c>
      <c r="E77" s="215">
        <f t="shared" si="1"/>
        <v>6</v>
      </c>
      <c r="F77" s="10">
        <v>1</v>
      </c>
      <c r="G77" s="10">
        <v>0</v>
      </c>
      <c r="H77" s="10">
        <v>0</v>
      </c>
      <c r="I77" s="216">
        <v>0</v>
      </c>
    </row>
    <row r="78" spans="1:9" x14ac:dyDescent="0.25">
      <c r="A78" s="8">
        <v>1994</v>
      </c>
      <c r="B78" s="10" t="s">
        <v>892</v>
      </c>
      <c r="C78" s="97" t="s">
        <v>893</v>
      </c>
      <c r="D78" s="214">
        <v>4367</v>
      </c>
      <c r="E78" s="215">
        <f t="shared" si="1"/>
        <v>11</v>
      </c>
      <c r="F78" s="10">
        <v>0</v>
      </c>
      <c r="G78" s="10">
        <v>0</v>
      </c>
      <c r="H78" s="10">
        <v>0</v>
      </c>
      <c r="I78" s="216">
        <v>1</v>
      </c>
    </row>
    <row r="79" spans="1:9" x14ac:dyDescent="0.25">
      <c r="A79" s="8">
        <v>2000</v>
      </c>
      <c r="B79" s="10" t="s">
        <v>889</v>
      </c>
      <c r="C79" s="97" t="s">
        <v>894</v>
      </c>
      <c r="D79" s="214">
        <v>6995</v>
      </c>
      <c r="E79" s="215">
        <f t="shared" si="1"/>
        <v>5</v>
      </c>
      <c r="F79" s="10">
        <v>1</v>
      </c>
      <c r="G79" s="10">
        <v>0</v>
      </c>
      <c r="H79" s="10">
        <v>0</v>
      </c>
      <c r="I79" s="216">
        <v>0</v>
      </c>
    </row>
    <row r="80" spans="1:9" x14ac:dyDescent="0.25">
      <c r="A80" s="8">
        <v>2000</v>
      </c>
      <c r="B80" s="10" t="s">
        <v>889</v>
      </c>
      <c r="C80" s="97" t="s">
        <v>894</v>
      </c>
      <c r="D80" s="214">
        <v>8976</v>
      </c>
      <c r="E80" s="215">
        <f t="shared" si="1"/>
        <v>5</v>
      </c>
      <c r="F80" s="10">
        <v>1</v>
      </c>
      <c r="G80" s="10">
        <v>0</v>
      </c>
      <c r="H80" s="10">
        <v>0</v>
      </c>
      <c r="I80" s="216">
        <v>0</v>
      </c>
    </row>
    <row r="81" spans="1:9" x14ac:dyDescent="0.25">
      <c r="A81" s="8">
        <v>1997</v>
      </c>
      <c r="B81" s="10" t="s">
        <v>889</v>
      </c>
      <c r="C81" s="97" t="s">
        <v>895</v>
      </c>
      <c r="D81" s="214">
        <v>4995</v>
      </c>
      <c r="E81" s="215">
        <f t="shared" si="1"/>
        <v>8</v>
      </c>
      <c r="F81" s="10">
        <v>1</v>
      </c>
      <c r="G81" s="10">
        <v>0</v>
      </c>
      <c r="H81" s="10">
        <v>0</v>
      </c>
      <c r="I81" s="216">
        <v>0</v>
      </c>
    </row>
    <row r="82" spans="1:9" x14ac:dyDescent="0.25">
      <c r="A82" s="8">
        <v>2002</v>
      </c>
      <c r="B82" s="10" t="s">
        <v>889</v>
      </c>
      <c r="C82" s="97" t="s">
        <v>896</v>
      </c>
      <c r="D82" s="214">
        <v>15995</v>
      </c>
      <c r="E82" s="215">
        <f t="shared" si="1"/>
        <v>3</v>
      </c>
      <c r="F82" s="10">
        <v>1</v>
      </c>
      <c r="G82" s="10">
        <v>0</v>
      </c>
      <c r="H82" s="10">
        <v>0</v>
      </c>
      <c r="I82" s="216">
        <v>0</v>
      </c>
    </row>
    <row r="83" spans="1:9" x14ac:dyDescent="0.25">
      <c r="A83" s="8">
        <v>2002</v>
      </c>
      <c r="B83" s="10" t="s">
        <v>889</v>
      </c>
      <c r="C83" s="97" t="s">
        <v>897</v>
      </c>
      <c r="D83" s="214">
        <v>11995</v>
      </c>
      <c r="E83" s="215">
        <f t="shared" si="1"/>
        <v>3</v>
      </c>
      <c r="F83" s="10">
        <v>1</v>
      </c>
      <c r="G83" s="10">
        <v>0</v>
      </c>
      <c r="H83" s="10">
        <v>0</v>
      </c>
      <c r="I83" s="216">
        <v>0</v>
      </c>
    </row>
    <row r="84" spans="1:9" x14ac:dyDescent="0.25">
      <c r="A84" s="8">
        <v>1995</v>
      </c>
      <c r="B84" s="10" t="s">
        <v>892</v>
      </c>
      <c r="C84" s="97" t="s">
        <v>898</v>
      </c>
      <c r="D84" s="214">
        <v>2000</v>
      </c>
      <c r="E84" s="215">
        <f t="shared" si="1"/>
        <v>10</v>
      </c>
      <c r="F84" s="10">
        <v>1</v>
      </c>
      <c r="G84" s="10">
        <v>0</v>
      </c>
      <c r="H84" s="10">
        <v>0</v>
      </c>
      <c r="I84" s="216">
        <v>0</v>
      </c>
    </row>
    <row r="85" spans="1:9" x14ac:dyDescent="0.25">
      <c r="A85" s="8">
        <v>1999</v>
      </c>
      <c r="B85" s="10" t="s">
        <v>892</v>
      </c>
      <c r="C85" s="97" t="s">
        <v>899</v>
      </c>
      <c r="D85" s="214">
        <v>5995</v>
      </c>
      <c r="E85" s="215">
        <f t="shared" si="1"/>
        <v>6</v>
      </c>
      <c r="F85" s="10">
        <v>1</v>
      </c>
      <c r="G85" s="10">
        <v>0</v>
      </c>
      <c r="H85" s="10">
        <v>0</v>
      </c>
      <c r="I85" s="216">
        <v>0</v>
      </c>
    </row>
    <row r="86" spans="1:9" x14ac:dyDescent="0.25">
      <c r="A86" s="8">
        <v>1999</v>
      </c>
      <c r="B86" s="10" t="s">
        <v>892</v>
      </c>
      <c r="C86" s="97" t="s">
        <v>899</v>
      </c>
      <c r="D86" s="214">
        <v>4963</v>
      </c>
      <c r="E86" s="215">
        <f t="shared" si="1"/>
        <v>6</v>
      </c>
      <c r="F86" s="10">
        <v>1</v>
      </c>
      <c r="G86" s="10">
        <v>0</v>
      </c>
      <c r="H86" s="10">
        <v>0</v>
      </c>
      <c r="I86" s="216">
        <v>0</v>
      </c>
    </row>
    <row r="87" spans="1:9" x14ac:dyDescent="0.25">
      <c r="A87" s="8">
        <v>2004</v>
      </c>
      <c r="B87" s="10" t="s">
        <v>889</v>
      </c>
      <c r="C87" s="97" t="s">
        <v>900</v>
      </c>
      <c r="D87" s="214">
        <v>27995</v>
      </c>
      <c r="E87" s="215">
        <f t="shared" si="1"/>
        <v>1</v>
      </c>
      <c r="F87" s="10">
        <v>1</v>
      </c>
      <c r="G87" s="10">
        <v>0</v>
      </c>
      <c r="H87" s="10">
        <v>0</v>
      </c>
      <c r="I87" s="216">
        <v>0</v>
      </c>
    </row>
    <row r="88" spans="1:9" x14ac:dyDescent="0.25">
      <c r="A88" s="8">
        <v>2000</v>
      </c>
      <c r="B88" s="10" t="s">
        <v>892</v>
      </c>
      <c r="C88" s="97" t="s">
        <v>901</v>
      </c>
      <c r="D88" s="214">
        <v>9975</v>
      </c>
      <c r="E88" s="215">
        <f t="shared" si="1"/>
        <v>5</v>
      </c>
      <c r="F88" s="10">
        <v>1</v>
      </c>
      <c r="G88" s="10">
        <v>0</v>
      </c>
      <c r="H88" s="10">
        <v>0</v>
      </c>
      <c r="I88" s="216">
        <v>0</v>
      </c>
    </row>
    <row r="89" spans="1:9" x14ac:dyDescent="0.25">
      <c r="A89" s="8">
        <v>2004</v>
      </c>
      <c r="B89" s="10" t="s">
        <v>892</v>
      </c>
      <c r="C89" s="97" t="s">
        <v>902</v>
      </c>
      <c r="D89" s="214">
        <v>14995</v>
      </c>
      <c r="E89" s="215">
        <f t="shared" si="1"/>
        <v>1</v>
      </c>
      <c r="F89" s="10">
        <v>1</v>
      </c>
      <c r="G89" s="10">
        <v>0</v>
      </c>
      <c r="H89" s="10">
        <v>0</v>
      </c>
      <c r="I89" s="216">
        <v>0</v>
      </c>
    </row>
    <row r="90" spans="1:9" x14ac:dyDescent="0.25">
      <c r="A90" s="8">
        <v>1998</v>
      </c>
      <c r="B90" s="10" t="s">
        <v>892</v>
      </c>
      <c r="C90" s="97" t="s">
        <v>903</v>
      </c>
      <c r="D90" s="214">
        <v>8995</v>
      </c>
      <c r="E90" s="215">
        <f t="shared" si="1"/>
        <v>7</v>
      </c>
      <c r="F90" s="10">
        <v>1</v>
      </c>
      <c r="G90" s="10">
        <v>0</v>
      </c>
      <c r="H90" s="10">
        <v>0</v>
      </c>
      <c r="I90" s="216">
        <v>0</v>
      </c>
    </row>
    <row r="91" spans="1:9" x14ac:dyDescent="0.25">
      <c r="A91" s="8">
        <v>2001</v>
      </c>
      <c r="B91" s="10" t="s">
        <v>892</v>
      </c>
      <c r="C91" s="97" t="s">
        <v>904</v>
      </c>
      <c r="D91" s="214">
        <v>11588</v>
      </c>
      <c r="E91" s="215">
        <f t="shared" si="1"/>
        <v>4</v>
      </c>
      <c r="F91" s="10">
        <v>1</v>
      </c>
      <c r="G91" s="10">
        <v>0</v>
      </c>
      <c r="H91" s="10">
        <v>0</v>
      </c>
      <c r="I91" s="216">
        <v>0</v>
      </c>
    </row>
    <row r="92" spans="1:9" x14ac:dyDescent="0.25">
      <c r="A92" s="8">
        <v>2004</v>
      </c>
      <c r="B92" s="10" t="s">
        <v>892</v>
      </c>
      <c r="C92" s="97" t="s">
        <v>904</v>
      </c>
      <c r="D92" s="214">
        <v>8890</v>
      </c>
      <c r="E92" s="215">
        <f t="shared" si="1"/>
        <v>1</v>
      </c>
      <c r="F92" s="10">
        <v>1</v>
      </c>
      <c r="G92" s="10">
        <v>0</v>
      </c>
      <c r="H92" s="10">
        <v>0</v>
      </c>
      <c r="I92" s="216">
        <v>0</v>
      </c>
    </row>
    <row r="93" spans="1:9" x14ac:dyDescent="0.25">
      <c r="A93" s="8">
        <v>1999</v>
      </c>
      <c r="B93" s="10" t="s">
        <v>892</v>
      </c>
      <c r="C93" s="97" t="s">
        <v>905</v>
      </c>
      <c r="D93" s="214">
        <v>8495</v>
      </c>
      <c r="E93" s="215">
        <f t="shared" si="1"/>
        <v>6</v>
      </c>
      <c r="F93" s="10">
        <v>0</v>
      </c>
      <c r="G93" s="10">
        <v>0</v>
      </c>
      <c r="H93" s="10">
        <v>0</v>
      </c>
      <c r="I93" s="216">
        <v>1</v>
      </c>
    </row>
    <row r="94" spans="1:9" x14ac:dyDescent="0.25">
      <c r="A94" s="8">
        <v>1996</v>
      </c>
      <c r="B94" s="10" t="s">
        <v>892</v>
      </c>
      <c r="C94" s="97" t="s">
        <v>906</v>
      </c>
      <c r="D94" s="214">
        <v>4995</v>
      </c>
      <c r="E94" s="215">
        <f t="shared" si="1"/>
        <v>9</v>
      </c>
      <c r="F94" s="10">
        <v>0</v>
      </c>
      <c r="G94" s="10">
        <v>0</v>
      </c>
      <c r="H94" s="10">
        <v>0</v>
      </c>
      <c r="I94" s="216">
        <v>1</v>
      </c>
    </row>
    <row r="95" spans="1:9" x14ac:dyDescent="0.25">
      <c r="A95" s="8">
        <v>1999</v>
      </c>
      <c r="B95" s="10" t="s">
        <v>892</v>
      </c>
      <c r="C95" s="217" t="s">
        <v>907</v>
      </c>
      <c r="D95" s="214">
        <v>8995</v>
      </c>
      <c r="E95" s="215">
        <f t="shared" si="1"/>
        <v>6</v>
      </c>
      <c r="F95" s="10">
        <v>0</v>
      </c>
      <c r="G95" s="10">
        <v>0</v>
      </c>
      <c r="H95" s="10">
        <v>0</v>
      </c>
      <c r="I95" s="216">
        <v>1</v>
      </c>
    </row>
    <row r="96" spans="1:9" x14ac:dyDescent="0.25">
      <c r="A96" s="8">
        <v>1998</v>
      </c>
      <c r="B96" s="10" t="s">
        <v>892</v>
      </c>
      <c r="C96" s="97" t="s">
        <v>908</v>
      </c>
      <c r="D96" s="214">
        <v>12995</v>
      </c>
      <c r="E96" s="215">
        <f t="shared" si="1"/>
        <v>7</v>
      </c>
      <c r="F96" s="10">
        <v>0</v>
      </c>
      <c r="G96" s="10">
        <v>0</v>
      </c>
      <c r="H96" s="10">
        <v>0</v>
      </c>
      <c r="I96" s="216">
        <v>1</v>
      </c>
    </row>
    <row r="97" spans="1:9" x14ac:dyDescent="0.25">
      <c r="A97" s="8">
        <v>2001</v>
      </c>
      <c r="B97" s="10" t="s">
        <v>892</v>
      </c>
      <c r="C97" s="97" t="s">
        <v>909</v>
      </c>
      <c r="D97" s="214">
        <v>17980</v>
      </c>
      <c r="E97" s="215">
        <f t="shared" si="1"/>
        <v>4</v>
      </c>
      <c r="F97" s="10">
        <v>0</v>
      </c>
      <c r="G97" s="10">
        <v>0</v>
      </c>
      <c r="H97" s="10">
        <v>0</v>
      </c>
      <c r="I97" s="216">
        <v>1</v>
      </c>
    </row>
    <row r="98" spans="1:9" x14ac:dyDescent="0.25">
      <c r="A98" s="8">
        <v>2000</v>
      </c>
      <c r="B98" s="10" t="s">
        <v>892</v>
      </c>
      <c r="C98" s="97" t="s">
        <v>910</v>
      </c>
      <c r="D98" s="214">
        <v>10995</v>
      </c>
      <c r="E98" s="215">
        <f t="shared" si="1"/>
        <v>5</v>
      </c>
      <c r="F98" s="10">
        <v>0</v>
      </c>
      <c r="G98" s="10">
        <v>0</v>
      </c>
      <c r="H98" s="10">
        <v>0</v>
      </c>
      <c r="I98" s="216">
        <v>1</v>
      </c>
    </row>
    <row r="99" spans="1:9" x14ac:dyDescent="0.25">
      <c r="A99" s="8">
        <v>2003</v>
      </c>
      <c r="B99" s="10" t="s">
        <v>892</v>
      </c>
      <c r="C99" s="97" t="s">
        <v>911</v>
      </c>
      <c r="D99" s="214">
        <v>20999</v>
      </c>
      <c r="E99" s="215">
        <f t="shared" si="1"/>
        <v>2</v>
      </c>
      <c r="F99" s="10">
        <v>0</v>
      </c>
      <c r="G99" s="10">
        <v>0</v>
      </c>
      <c r="H99" s="10">
        <v>0</v>
      </c>
      <c r="I99" s="216">
        <v>1</v>
      </c>
    </row>
    <row r="100" spans="1:9" x14ac:dyDescent="0.25">
      <c r="A100" s="8">
        <v>1998</v>
      </c>
      <c r="B100" s="10" t="s">
        <v>892</v>
      </c>
      <c r="C100" s="97" t="s">
        <v>912</v>
      </c>
      <c r="D100" s="214">
        <v>8995</v>
      </c>
      <c r="E100" s="215">
        <f t="shared" si="1"/>
        <v>7</v>
      </c>
      <c r="F100" s="10">
        <v>0</v>
      </c>
      <c r="G100" s="10">
        <v>0</v>
      </c>
      <c r="H100" s="10">
        <v>0</v>
      </c>
      <c r="I100" s="216">
        <v>1</v>
      </c>
    </row>
    <row r="101" spans="1:9" x14ac:dyDescent="0.25">
      <c r="A101" s="8">
        <v>2001</v>
      </c>
      <c r="B101" s="10" t="s">
        <v>892</v>
      </c>
      <c r="C101" s="97" t="s">
        <v>913</v>
      </c>
      <c r="D101" s="214">
        <v>12900</v>
      </c>
      <c r="E101" s="215">
        <f t="shared" si="1"/>
        <v>4</v>
      </c>
      <c r="F101" s="10">
        <v>0</v>
      </c>
      <c r="G101" s="10">
        <v>0</v>
      </c>
      <c r="H101" s="10">
        <v>0</v>
      </c>
      <c r="I101" s="216">
        <v>1</v>
      </c>
    </row>
    <row r="102" spans="1:9" x14ac:dyDescent="0.25">
      <c r="A102" s="8">
        <v>2004</v>
      </c>
      <c r="B102" s="10" t="s">
        <v>892</v>
      </c>
      <c r="C102" s="97" t="s">
        <v>914</v>
      </c>
      <c r="D102" s="214">
        <v>20683</v>
      </c>
      <c r="E102" s="215">
        <f t="shared" si="1"/>
        <v>1</v>
      </c>
      <c r="F102" s="10">
        <v>0</v>
      </c>
      <c r="G102" s="10">
        <v>0</v>
      </c>
      <c r="H102" s="10">
        <v>0</v>
      </c>
      <c r="I102" s="216">
        <v>1</v>
      </c>
    </row>
    <row r="103" spans="1:9" x14ac:dyDescent="0.25">
      <c r="A103" s="8">
        <v>2005</v>
      </c>
      <c r="B103" s="10" t="s">
        <v>828</v>
      </c>
      <c r="C103" s="97" t="s">
        <v>915</v>
      </c>
      <c r="D103" s="214">
        <v>25995</v>
      </c>
      <c r="E103" s="215">
        <f t="shared" si="1"/>
        <v>0</v>
      </c>
      <c r="F103" s="10">
        <v>0</v>
      </c>
      <c r="G103" s="10">
        <v>0</v>
      </c>
      <c r="H103" s="10">
        <v>1</v>
      </c>
      <c r="I103" s="216">
        <v>0</v>
      </c>
    </row>
    <row r="104" spans="1:9" x14ac:dyDescent="0.25">
      <c r="A104" s="8">
        <v>2005</v>
      </c>
      <c r="B104" s="10" t="s">
        <v>828</v>
      </c>
      <c r="C104" s="97" t="s">
        <v>915</v>
      </c>
      <c r="D104" s="214">
        <v>18276</v>
      </c>
      <c r="E104" s="215">
        <f t="shared" si="1"/>
        <v>0</v>
      </c>
      <c r="F104" s="10">
        <v>0</v>
      </c>
      <c r="G104" s="10">
        <v>0</v>
      </c>
      <c r="H104" s="10">
        <v>1</v>
      </c>
      <c r="I104" s="216">
        <v>0</v>
      </c>
    </row>
    <row r="105" spans="1:9" x14ac:dyDescent="0.25">
      <c r="A105" s="8">
        <v>2003</v>
      </c>
      <c r="B105" s="10" t="s">
        <v>892</v>
      </c>
      <c r="C105" s="97" t="s">
        <v>916</v>
      </c>
      <c r="D105" s="214">
        <v>18995</v>
      </c>
      <c r="E105" s="215">
        <f t="shared" si="1"/>
        <v>2</v>
      </c>
      <c r="F105" s="10">
        <v>0</v>
      </c>
      <c r="G105" s="10">
        <v>0</v>
      </c>
      <c r="H105" s="10">
        <v>1</v>
      </c>
      <c r="I105" s="216">
        <v>0</v>
      </c>
    </row>
    <row r="106" spans="1:9" x14ac:dyDescent="0.25">
      <c r="A106" s="8">
        <v>2001</v>
      </c>
      <c r="B106" s="10" t="s">
        <v>892</v>
      </c>
      <c r="C106" s="97" t="s">
        <v>917</v>
      </c>
      <c r="D106" s="214">
        <v>13963</v>
      </c>
      <c r="E106" s="215">
        <f t="shared" si="1"/>
        <v>4</v>
      </c>
      <c r="F106" s="10">
        <v>0</v>
      </c>
      <c r="G106" s="10">
        <v>0</v>
      </c>
      <c r="H106" s="10">
        <v>1</v>
      </c>
      <c r="I106" s="216">
        <v>0</v>
      </c>
    </row>
    <row r="107" spans="1:9" x14ac:dyDescent="0.25">
      <c r="A107" s="8">
        <v>2002</v>
      </c>
      <c r="B107" s="10" t="s">
        <v>892</v>
      </c>
      <c r="C107" s="97" t="s">
        <v>918</v>
      </c>
      <c r="D107" s="214">
        <v>12995</v>
      </c>
      <c r="E107" s="215">
        <f t="shared" si="1"/>
        <v>3</v>
      </c>
      <c r="F107" s="10">
        <v>0</v>
      </c>
      <c r="G107" s="10">
        <v>0</v>
      </c>
      <c r="H107" s="10">
        <v>1</v>
      </c>
      <c r="I107" s="216">
        <v>0</v>
      </c>
    </row>
    <row r="108" spans="1:9" x14ac:dyDescent="0.25">
      <c r="A108" s="8">
        <v>2001</v>
      </c>
      <c r="B108" s="10" t="s">
        <v>892</v>
      </c>
      <c r="C108" s="97" t="s">
        <v>918</v>
      </c>
      <c r="D108" s="214">
        <v>11900</v>
      </c>
      <c r="E108" s="215">
        <f t="shared" si="1"/>
        <v>4</v>
      </c>
      <c r="F108" s="10">
        <v>0</v>
      </c>
      <c r="G108" s="10">
        <v>0</v>
      </c>
      <c r="H108" s="10">
        <v>1</v>
      </c>
      <c r="I108" s="216">
        <v>0</v>
      </c>
    </row>
    <row r="109" spans="1:9" x14ac:dyDescent="0.25">
      <c r="A109" s="8">
        <v>2004</v>
      </c>
      <c r="B109" s="10" t="s">
        <v>892</v>
      </c>
      <c r="C109" s="97" t="s">
        <v>919</v>
      </c>
      <c r="D109" s="214">
        <v>15995</v>
      </c>
      <c r="E109" s="215">
        <f t="shared" si="1"/>
        <v>1</v>
      </c>
      <c r="F109" s="10">
        <v>0</v>
      </c>
      <c r="G109" s="10">
        <v>0</v>
      </c>
      <c r="H109" s="10">
        <v>1</v>
      </c>
      <c r="I109" s="216">
        <v>0</v>
      </c>
    </row>
    <row r="110" spans="1:9" x14ac:dyDescent="0.25">
      <c r="A110" s="8">
        <v>2003</v>
      </c>
      <c r="B110" s="10" t="s">
        <v>892</v>
      </c>
      <c r="C110" s="97" t="s">
        <v>920</v>
      </c>
      <c r="D110" s="214">
        <v>17495</v>
      </c>
      <c r="E110" s="215">
        <f t="shared" si="1"/>
        <v>2</v>
      </c>
      <c r="F110" s="10">
        <v>0</v>
      </c>
      <c r="G110" s="10">
        <v>0</v>
      </c>
      <c r="H110" s="10">
        <v>1</v>
      </c>
      <c r="I110" s="216">
        <v>0</v>
      </c>
    </row>
    <row r="111" spans="1:9" x14ac:dyDescent="0.25">
      <c r="A111" s="8">
        <v>2003</v>
      </c>
      <c r="B111" s="10" t="s">
        <v>892</v>
      </c>
      <c r="C111" s="97" t="s">
        <v>920</v>
      </c>
      <c r="D111" s="214">
        <v>17988</v>
      </c>
      <c r="E111" s="215">
        <f t="shared" si="1"/>
        <v>2</v>
      </c>
      <c r="F111" s="10">
        <v>0</v>
      </c>
      <c r="G111" s="10">
        <v>0</v>
      </c>
      <c r="H111" s="10">
        <v>1</v>
      </c>
      <c r="I111" s="216">
        <v>0</v>
      </c>
    </row>
    <row r="112" spans="1:9" x14ac:dyDescent="0.25">
      <c r="A112" s="8">
        <v>2002</v>
      </c>
      <c r="B112" s="10" t="s">
        <v>892</v>
      </c>
      <c r="C112" s="97" t="s">
        <v>921</v>
      </c>
      <c r="D112" s="214">
        <v>14995</v>
      </c>
      <c r="E112" s="215">
        <f t="shared" si="1"/>
        <v>3</v>
      </c>
      <c r="F112" s="10">
        <v>0</v>
      </c>
      <c r="G112" s="10">
        <v>0</v>
      </c>
      <c r="H112" s="10">
        <v>1</v>
      </c>
      <c r="I112" s="216">
        <v>0</v>
      </c>
    </row>
    <row r="113" spans="1:9" x14ac:dyDescent="0.25">
      <c r="A113" s="8">
        <v>2002</v>
      </c>
      <c r="B113" s="10" t="s">
        <v>892</v>
      </c>
      <c r="C113" s="97" t="s">
        <v>922</v>
      </c>
      <c r="D113" s="214">
        <v>14995</v>
      </c>
      <c r="E113" s="215">
        <f t="shared" si="1"/>
        <v>3</v>
      </c>
      <c r="F113" s="10">
        <v>0</v>
      </c>
      <c r="G113" s="10">
        <v>0</v>
      </c>
      <c r="H113" s="10">
        <v>1</v>
      </c>
      <c r="I113" s="216">
        <v>0</v>
      </c>
    </row>
    <row r="114" spans="1:9" x14ac:dyDescent="0.25">
      <c r="A114" s="8">
        <v>2001</v>
      </c>
      <c r="B114" s="10" t="s">
        <v>892</v>
      </c>
      <c r="C114" s="97" t="s">
        <v>922</v>
      </c>
      <c r="D114" s="214">
        <v>13995</v>
      </c>
      <c r="E114" s="215">
        <f t="shared" si="1"/>
        <v>4</v>
      </c>
      <c r="F114" s="10">
        <v>0</v>
      </c>
      <c r="G114" s="10">
        <v>0</v>
      </c>
      <c r="H114" s="10">
        <v>1</v>
      </c>
      <c r="I114" s="216">
        <v>0</v>
      </c>
    </row>
    <row r="115" spans="1:9" x14ac:dyDescent="0.25">
      <c r="A115" s="8">
        <v>2001</v>
      </c>
      <c r="B115" s="10" t="s">
        <v>892</v>
      </c>
      <c r="C115" s="97" t="s">
        <v>922</v>
      </c>
      <c r="D115" s="214">
        <v>8995</v>
      </c>
      <c r="E115" s="215">
        <f t="shared" si="1"/>
        <v>4</v>
      </c>
      <c r="F115" s="10">
        <v>0</v>
      </c>
      <c r="G115" s="10">
        <v>0</v>
      </c>
      <c r="H115" s="10">
        <v>1</v>
      </c>
      <c r="I115" s="216">
        <v>0</v>
      </c>
    </row>
    <row r="116" spans="1:9" x14ac:dyDescent="0.25">
      <c r="A116" s="8">
        <v>2001</v>
      </c>
      <c r="B116" s="10" t="s">
        <v>892</v>
      </c>
      <c r="C116" s="97" t="s">
        <v>922</v>
      </c>
      <c r="D116" s="214">
        <v>12995</v>
      </c>
      <c r="E116" s="215">
        <f t="shared" si="1"/>
        <v>4</v>
      </c>
      <c r="F116" s="10">
        <v>0</v>
      </c>
      <c r="G116" s="10">
        <v>0</v>
      </c>
      <c r="H116" s="10">
        <v>1</v>
      </c>
      <c r="I116" s="216">
        <v>0</v>
      </c>
    </row>
    <row r="117" spans="1:9" x14ac:dyDescent="0.25">
      <c r="A117" s="8">
        <v>1992</v>
      </c>
      <c r="B117" s="10" t="s">
        <v>892</v>
      </c>
      <c r="C117" s="97" t="s">
        <v>923</v>
      </c>
      <c r="D117" s="214">
        <v>2995</v>
      </c>
      <c r="E117" s="215">
        <f t="shared" si="1"/>
        <v>13</v>
      </c>
      <c r="F117" s="10">
        <v>1</v>
      </c>
      <c r="G117" s="10">
        <v>0</v>
      </c>
      <c r="H117" s="10">
        <v>0</v>
      </c>
      <c r="I117" s="216">
        <v>0</v>
      </c>
    </row>
    <row r="118" spans="1:9" x14ac:dyDescent="0.25">
      <c r="A118" s="8">
        <v>2002</v>
      </c>
      <c r="B118" s="10" t="s">
        <v>892</v>
      </c>
      <c r="C118" s="97" t="s">
        <v>923</v>
      </c>
      <c r="D118" s="214">
        <v>6988</v>
      </c>
      <c r="E118" s="215">
        <f t="shared" si="1"/>
        <v>3</v>
      </c>
      <c r="F118" s="10">
        <v>1</v>
      </c>
      <c r="G118" s="10">
        <v>0</v>
      </c>
      <c r="H118" s="10">
        <v>0</v>
      </c>
      <c r="I118" s="216">
        <v>0</v>
      </c>
    </row>
    <row r="119" spans="1:9" x14ac:dyDescent="0.25">
      <c r="A119" s="8">
        <v>2002</v>
      </c>
      <c r="B119" s="10" t="s">
        <v>892</v>
      </c>
      <c r="C119" s="97" t="s">
        <v>923</v>
      </c>
      <c r="D119" s="214">
        <v>5200</v>
      </c>
      <c r="E119" s="215">
        <f t="shared" si="1"/>
        <v>3</v>
      </c>
      <c r="F119" s="10">
        <v>1</v>
      </c>
      <c r="G119" s="10">
        <v>0</v>
      </c>
      <c r="H119" s="10">
        <v>0</v>
      </c>
      <c r="I119" s="216">
        <v>0</v>
      </c>
    </row>
    <row r="120" spans="1:9" x14ac:dyDescent="0.25">
      <c r="A120" s="8">
        <v>1999</v>
      </c>
      <c r="B120" s="10" t="s">
        <v>892</v>
      </c>
      <c r="C120" s="97" t="s">
        <v>924</v>
      </c>
      <c r="D120" s="214">
        <v>2488</v>
      </c>
      <c r="E120" s="215">
        <f t="shared" si="1"/>
        <v>6</v>
      </c>
      <c r="F120" s="10">
        <v>1</v>
      </c>
      <c r="G120" s="10">
        <v>0</v>
      </c>
      <c r="H120" s="10">
        <v>0</v>
      </c>
      <c r="I120" s="216">
        <v>0</v>
      </c>
    </row>
    <row r="121" spans="1:9" x14ac:dyDescent="0.25">
      <c r="A121" s="8">
        <v>2001</v>
      </c>
      <c r="B121" s="10" t="s">
        <v>892</v>
      </c>
      <c r="C121" s="97" t="s">
        <v>925</v>
      </c>
      <c r="D121" s="214">
        <v>6495</v>
      </c>
      <c r="E121" s="215">
        <f t="shared" si="1"/>
        <v>4</v>
      </c>
      <c r="F121" s="10">
        <v>1</v>
      </c>
      <c r="G121" s="10">
        <v>0</v>
      </c>
      <c r="H121" s="10">
        <v>0</v>
      </c>
      <c r="I121" s="216">
        <v>0</v>
      </c>
    </row>
    <row r="122" spans="1:9" x14ac:dyDescent="0.25">
      <c r="A122" s="8">
        <v>2002</v>
      </c>
      <c r="B122" s="10" t="s">
        <v>892</v>
      </c>
      <c r="C122" s="97" t="s">
        <v>925</v>
      </c>
      <c r="D122" s="214">
        <v>7780</v>
      </c>
      <c r="E122" s="215">
        <f t="shared" si="1"/>
        <v>3</v>
      </c>
      <c r="F122" s="10">
        <v>1</v>
      </c>
      <c r="G122" s="10">
        <v>0</v>
      </c>
      <c r="H122" s="10">
        <v>0</v>
      </c>
      <c r="I122" s="216">
        <v>0</v>
      </c>
    </row>
    <row r="123" spans="1:9" x14ac:dyDescent="0.25">
      <c r="A123" s="8">
        <v>2001</v>
      </c>
      <c r="B123" s="10" t="s">
        <v>892</v>
      </c>
      <c r="C123" s="97" t="s">
        <v>926</v>
      </c>
      <c r="D123" s="214">
        <v>4988</v>
      </c>
      <c r="E123" s="215">
        <f t="shared" si="1"/>
        <v>4</v>
      </c>
      <c r="F123" s="10">
        <v>1</v>
      </c>
      <c r="G123" s="10">
        <v>0</v>
      </c>
      <c r="H123" s="10">
        <v>0</v>
      </c>
      <c r="I123" s="216">
        <v>0</v>
      </c>
    </row>
    <row r="124" spans="1:9" x14ac:dyDescent="0.25">
      <c r="A124" s="8">
        <v>2003</v>
      </c>
      <c r="B124" s="10" t="s">
        <v>892</v>
      </c>
      <c r="C124" s="97" t="s">
        <v>926</v>
      </c>
      <c r="D124" s="214">
        <v>7995</v>
      </c>
      <c r="E124" s="215">
        <f t="shared" si="1"/>
        <v>2</v>
      </c>
      <c r="F124" s="10">
        <v>1</v>
      </c>
      <c r="G124" s="10">
        <v>0</v>
      </c>
      <c r="H124" s="10">
        <v>0</v>
      </c>
      <c r="I124" s="216">
        <v>0</v>
      </c>
    </row>
    <row r="125" spans="1:9" x14ac:dyDescent="0.25">
      <c r="A125" s="8">
        <v>2000</v>
      </c>
      <c r="B125" s="10" t="s">
        <v>892</v>
      </c>
      <c r="C125" s="97" t="s">
        <v>927</v>
      </c>
      <c r="D125" s="214">
        <v>5995</v>
      </c>
      <c r="E125" s="215">
        <f t="shared" si="1"/>
        <v>5</v>
      </c>
      <c r="F125" s="10">
        <v>1</v>
      </c>
      <c r="G125" s="10">
        <v>0</v>
      </c>
      <c r="H125" s="10">
        <v>0</v>
      </c>
      <c r="I125" s="216">
        <v>0</v>
      </c>
    </row>
    <row r="126" spans="1:9" x14ac:dyDescent="0.25">
      <c r="A126" s="8">
        <v>2001</v>
      </c>
      <c r="B126" s="10" t="s">
        <v>892</v>
      </c>
      <c r="C126" s="97" t="s">
        <v>928</v>
      </c>
      <c r="D126" s="214">
        <v>20495</v>
      </c>
      <c r="E126" s="215">
        <f t="shared" si="1"/>
        <v>4</v>
      </c>
      <c r="F126" s="10">
        <v>0</v>
      </c>
      <c r="G126" s="10">
        <v>0</v>
      </c>
      <c r="H126" s="10">
        <v>1</v>
      </c>
      <c r="I126" s="216">
        <v>0</v>
      </c>
    </row>
    <row r="127" spans="1:9" x14ac:dyDescent="0.25">
      <c r="A127" s="8">
        <v>2000</v>
      </c>
      <c r="B127" s="10" t="s">
        <v>892</v>
      </c>
      <c r="C127" s="97" t="s">
        <v>929</v>
      </c>
      <c r="D127" s="214">
        <v>15995</v>
      </c>
      <c r="E127" s="215">
        <f t="shared" si="1"/>
        <v>5</v>
      </c>
      <c r="F127" s="10">
        <v>0</v>
      </c>
      <c r="G127" s="10">
        <v>0</v>
      </c>
      <c r="H127" s="10">
        <v>0</v>
      </c>
      <c r="I127" s="216">
        <v>1</v>
      </c>
    </row>
    <row r="128" spans="1:9" x14ac:dyDescent="0.25">
      <c r="A128" s="8">
        <v>2002</v>
      </c>
      <c r="B128" s="10" t="s">
        <v>892</v>
      </c>
      <c r="C128" s="97" t="s">
        <v>930</v>
      </c>
      <c r="D128" s="214">
        <v>23990</v>
      </c>
      <c r="E128" s="215">
        <f t="shared" si="1"/>
        <v>3</v>
      </c>
      <c r="F128" s="10">
        <v>0</v>
      </c>
      <c r="G128" s="10">
        <v>0</v>
      </c>
      <c r="H128" s="10">
        <v>1</v>
      </c>
      <c r="I128" s="216">
        <v>0</v>
      </c>
    </row>
    <row r="129" spans="1:9" x14ac:dyDescent="0.25">
      <c r="A129" s="8">
        <v>1998</v>
      </c>
      <c r="B129" s="10" t="s">
        <v>892</v>
      </c>
      <c r="C129" s="97" t="s">
        <v>931</v>
      </c>
      <c r="D129" s="214">
        <v>10495</v>
      </c>
      <c r="E129" s="215">
        <f t="shared" si="1"/>
        <v>7</v>
      </c>
      <c r="F129" s="10">
        <v>0</v>
      </c>
      <c r="G129" s="10">
        <v>0</v>
      </c>
      <c r="H129" s="10">
        <v>1</v>
      </c>
      <c r="I129" s="216">
        <v>0</v>
      </c>
    </row>
    <row r="130" spans="1:9" x14ac:dyDescent="0.25">
      <c r="A130" s="8">
        <v>2003</v>
      </c>
      <c r="B130" s="10" t="s">
        <v>892</v>
      </c>
      <c r="C130" s="97" t="s">
        <v>932</v>
      </c>
      <c r="D130" s="214">
        <v>28990</v>
      </c>
      <c r="E130" s="215">
        <f t="shared" ref="E130:E193" si="2">2005-A130</f>
        <v>2</v>
      </c>
      <c r="F130" s="10">
        <v>0</v>
      </c>
      <c r="G130" s="10">
        <v>0</v>
      </c>
      <c r="H130" s="10">
        <v>1</v>
      </c>
      <c r="I130" s="216">
        <v>0</v>
      </c>
    </row>
    <row r="131" spans="1:9" x14ac:dyDescent="0.25">
      <c r="A131" s="8">
        <v>2002</v>
      </c>
      <c r="B131" s="10" t="s">
        <v>892</v>
      </c>
      <c r="C131" s="97" t="s">
        <v>932</v>
      </c>
      <c r="D131" s="214">
        <v>28975</v>
      </c>
      <c r="E131" s="215">
        <f t="shared" si="2"/>
        <v>3</v>
      </c>
      <c r="F131" s="10">
        <v>0</v>
      </c>
      <c r="G131" s="10">
        <v>0</v>
      </c>
      <c r="H131" s="10">
        <v>1</v>
      </c>
      <c r="I131" s="216">
        <v>0</v>
      </c>
    </row>
    <row r="132" spans="1:9" x14ac:dyDescent="0.25">
      <c r="A132" s="8">
        <v>2001</v>
      </c>
      <c r="B132" s="10" t="s">
        <v>892</v>
      </c>
      <c r="C132" s="97" t="s">
        <v>933</v>
      </c>
      <c r="D132" s="214">
        <v>20995</v>
      </c>
      <c r="E132" s="215">
        <f t="shared" si="2"/>
        <v>4</v>
      </c>
      <c r="F132" s="10">
        <v>0</v>
      </c>
      <c r="G132" s="10">
        <v>0</v>
      </c>
      <c r="H132" s="10">
        <v>1</v>
      </c>
      <c r="I132" s="216">
        <v>0</v>
      </c>
    </row>
    <row r="133" spans="1:9" x14ac:dyDescent="0.25">
      <c r="A133" s="8">
        <v>2003</v>
      </c>
      <c r="B133" s="10" t="s">
        <v>892</v>
      </c>
      <c r="C133" s="97" t="s">
        <v>934</v>
      </c>
      <c r="D133" s="214">
        <v>29995</v>
      </c>
      <c r="E133" s="215">
        <f t="shared" si="2"/>
        <v>2</v>
      </c>
      <c r="F133" s="10">
        <v>0</v>
      </c>
      <c r="G133" s="10">
        <v>0</v>
      </c>
      <c r="H133" s="10">
        <v>1</v>
      </c>
      <c r="I133" s="216">
        <v>0</v>
      </c>
    </row>
    <row r="134" spans="1:9" x14ac:dyDescent="0.25">
      <c r="A134" s="8">
        <v>1998</v>
      </c>
      <c r="B134" s="10" t="s">
        <v>892</v>
      </c>
      <c r="C134" s="97" t="s">
        <v>935</v>
      </c>
      <c r="D134" s="214">
        <v>11900</v>
      </c>
      <c r="E134" s="215">
        <f t="shared" si="2"/>
        <v>7</v>
      </c>
      <c r="F134" s="10">
        <v>0</v>
      </c>
      <c r="G134" s="10">
        <v>0</v>
      </c>
      <c r="H134" s="10">
        <v>1</v>
      </c>
      <c r="I134" s="216">
        <v>0</v>
      </c>
    </row>
    <row r="135" spans="1:9" x14ac:dyDescent="0.25">
      <c r="A135" s="8">
        <v>2001</v>
      </c>
      <c r="B135" s="10" t="s">
        <v>892</v>
      </c>
      <c r="C135" s="97" t="s">
        <v>936</v>
      </c>
      <c r="D135" s="214">
        <v>17383</v>
      </c>
      <c r="E135" s="215">
        <f t="shared" si="2"/>
        <v>4</v>
      </c>
      <c r="F135" s="10">
        <v>0</v>
      </c>
      <c r="G135" s="10">
        <v>0</v>
      </c>
      <c r="H135" s="10">
        <v>1</v>
      </c>
      <c r="I135" s="216">
        <v>0</v>
      </c>
    </row>
    <row r="136" spans="1:9" x14ac:dyDescent="0.25">
      <c r="A136" s="8">
        <v>2001</v>
      </c>
      <c r="B136" s="10" t="s">
        <v>892</v>
      </c>
      <c r="C136" s="97" t="s">
        <v>937</v>
      </c>
      <c r="D136" s="214">
        <v>15900</v>
      </c>
      <c r="E136" s="215">
        <f t="shared" si="2"/>
        <v>4</v>
      </c>
      <c r="F136" s="10">
        <v>0</v>
      </c>
      <c r="G136" s="10">
        <v>0</v>
      </c>
      <c r="H136" s="10">
        <v>1</v>
      </c>
      <c r="I136" s="216">
        <v>0</v>
      </c>
    </row>
    <row r="137" spans="1:9" x14ac:dyDescent="0.25">
      <c r="A137" s="8">
        <v>2001</v>
      </c>
      <c r="B137" s="10" t="s">
        <v>892</v>
      </c>
      <c r="C137" s="97" t="s">
        <v>937</v>
      </c>
      <c r="D137" s="214">
        <v>15988</v>
      </c>
      <c r="E137" s="215">
        <f t="shared" si="2"/>
        <v>4</v>
      </c>
      <c r="F137" s="10">
        <v>0</v>
      </c>
      <c r="G137" s="10">
        <v>0</v>
      </c>
      <c r="H137" s="10">
        <v>1</v>
      </c>
      <c r="I137" s="216">
        <v>0</v>
      </c>
    </row>
    <row r="138" spans="1:9" x14ac:dyDescent="0.25">
      <c r="A138" s="8">
        <v>2002</v>
      </c>
      <c r="B138" s="10" t="s">
        <v>892</v>
      </c>
      <c r="C138" s="97" t="s">
        <v>938</v>
      </c>
      <c r="D138" s="214">
        <v>21398</v>
      </c>
      <c r="E138" s="215">
        <f t="shared" si="2"/>
        <v>3</v>
      </c>
      <c r="F138" s="10">
        <v>0</v>
      </c>
      <c r="G138" s="10">
        <v>0</v>
      </c>
      <c r="H138" s="10">
        <v>1</v>
      </c>
      <c r="I138" s="216">
        <v>0</v>
      </c>
    </row>
    <row r="139" spans="1:9" x14ac:dyDescent="0.25">
      <c r="A139" s="8">
        <v>2001</v>
      </c>
      <c r="B139" s="10" t="s">
        <v>892</v>
      </c>
      <c r="C139" s="97" t="s">
        <v>938</v>
      </c>
      <c r="D139" s="214">
        <v>16690</v>
      </c>
      <c r="E139" s="215">
        <f t="shared" si="2"/>
        <v>4</v>
      </c>
      <c r="F139" s="10">
        <v>0</v>
      </c>
      <c r="G139" s="10">
        <v>0</v>
      </c>
      <c r="H139" s="10">
        <v>1</v>
      </c>
      <c r="I139" s="216">
        <v>0</v>
      </c>
    </row>
    <row r="140" spans="1:9" x14ac:dyDescent="0.25">
      <c r="A140" s="8">
        <v>1999</v>
      </c>
      <c r="B140" s="10" t="s">
        <v>892</v>
      </c>
      <c r="C140" s="97" t="s">
        <v>938</v>
      </c>
      <c r="D140" s="214">
        <v>12357</v>
      </c>
      <c r="E140" s="215">
        <f t="shared" si="2"/>
        <v>6</v>
      </c>
      <c r="F140" s="10">
        <v>0</v>
      </c>
      <c r="G140" s="10">
        <v>0</v>
      </c>
      <c r="H140" s="10">
        <v>1</v>
      </c>
      <c r="I140" s="216">
        <v>0</v>
      </c>
    </row>
    <row r="141" spans="1:9" x14ac:dyDescent="0.25">
      <c r="A141" s="8">
        <v>2004</v>
      </c>
      <c r="B141" s="10" t="s">
        <v>892</v>
      </c>
      <c r="C141" s="97" t="s">
        <v>939</v>
      </c>
      <c r="D141" s="214">
        <v>27980</v>
      </c>
      <c r="E141" s="215">
        <f t="shared" si="2"/>
        <v>1</v>
      </c>
      <c r="F141" s="10">
        <v>0</v>
      </c>
      <c r="G141" s="10">
        <v>0</v>
      </c>
      <c r="H141" s="10">
        <v>1</v>
      </c>
      <c r="I141" s="216">
        <v>0</v>
      </c>
    </row>
    <row r="142" spans="1:9" x14ac:dyDescent="0.25">
      <c r="A142" s="8">
        <v>2002</v>
      </c>
      <c r="B142" s="10" t="s">
        <v>892</v>
      </c>
      <c r="C142" s="97" t="s">
        <v>939</v>
      </c>
      <c r="D142" s="214">
        <v>22980</v>
      </c>
      <c r="E142" s="215">
        <f t="shared" si="2"/>
        <v>3</v>
      </c>
      <c r="F142" s="10">
        <v>0</v>
      </c>
      <c r="G142" s="10">
        <v>0</v>
      </c>
      <c r="H142" s="10">
        <v>1</v>
      </c>
      <c r="I142" s="216">
        <v>0</v>
      </c>
    </row>
    <row r="143" spans="1:9" x14ac:dyDescent="0.25">
      <c r="A143" s="8">
        <v>2004</v>
      </c>
      <c r="B143" s="10" t="s">
        <v>892</v>
      </c>
      <c r="C143" s="97" t="s">
        <v>940</v>
      </c>
      <c r="D143" s="214">
        <v>23995</v>
      </c>
      <c r="E143" s="215">
        <f t="shared" si="2"/>
        <v>1</v>
      </c>
      <c r="F143" s="10">
        <v>0</v>
      </c>
      <c r="G143" s="10">
        <v>0</v>
      </c>
      <c r="H143" s="10">
        <v>1</v>
      </c>
      <c r="I143" s="216">
        <v>0</v>
      </c>
    </row>
    <row r="144" spans="1:9" x14ac:dyDescent="0.25">
      <c r="A144" s="8">
        <v>2001</v>
      </c>
      <c r="B144" s="10" t="s">
        <v>892</v>
      </c>
      <c r="C144" s="97" t="s">
        <v>941</v>
      </c>
      <c r="D144" s="214">
        <v>18990</v>
      </c>
      <c r="E144" s="215">
        <f t="shared" si="2"/>
        <v>4</v>
      </c>
      <c r="F144" s="10">
        <v>0</v>
      </c>
      <c r="G144" s="10">
        <v>0</v>
      </c>
      <c r="H144" s="10">
        <v>1</v>
      </c>
      <c r="I144" s="216">
        <v>0</v>
      </c>
    </row>
    <row r="145" spans="1:9" x14ac:dyDescent="0.25">
      <c r="A145" s="8">
        <v>2001</v>
      </c>
      <c r="B145" s="10" t="s">
        <v>892</v>
      </c>
      <c r="C145" s="97" t="s">
        <v>941</v>
      </c>
      <c r="D145" s="214">
        <v>15995</v>
      </c>
      <c r="E145" s="215">
        <f t="shared" si="2"/>
        <v>4</v>
      </c>
      <c r="F145" s="10">
        <v>0</v>
      </c>
      <c r="G145" s="10">
        <v>0</v>
      </c>
      <c r="H145" s="10">
        <v>1</v>
      </c>
      <c r="I145" s="216">
        <v>0</v>
      </c>
    </row>
    <row r="146" spans="1:9" x14ac:dyDescent="0.25">
      <c r="A146" s="8">
        <v>2001</v>
      </c>
      <c r="B146" s="10" t="s">
        <v>892</v>
      </c>
      <c r="C146" s="97" t="s">
        <v>941</v>
      </c>
      <c r="D146" s="214">
        <v>18995</v>
      </c>
      <c r="E146" s="215">
        <f t="shared" si="2"/>
        <v>4</v>
      </c>
      <c r="F146" s="10">
        <v>0</v>
      </c>
      <c r="G146" s="10">
        <v>0</v>
      </c>
      <c r="H146" s="10">
        <v>1</v>
      </c>
      <c r="I146" s="216">
        <v>0</v>
      </c>
    </row>
    <row r="147" spans="1:9" x14ac:dyDescent="0.25">
      <c r="A147" s="8">
        <v>2003</v>
      </c>
      <c r="B147" s="10" t="s">
        <v>892</v>
      </c>
      <c r="C147" s="97" t="s">
        <v>942</v>
      </c>
      <c r="D147" s="214">
        <v>23995</v>
      </c>
      <c r="E147" s="215">
        <f t="shared" si="2"/>
        <v>2</v>
      </c>
      <c r="F147" s="10">
        <v>0</v>
      </c>
      <c r="G147" s="10">
        <v>0</v>
      </c>
      <c r="H147" s="10">
        <v>1</v>
      </c>
      <c r="I147" s="216">
        <v>0</v>
      </c>
    </row>
    <row r="148" spans="1:9" x14ac:dyDescent="0.25">
      <c r="A148" s="8">
        <v>2003</v>
      </c>
      <c r="B148" s="10" t="s">
        <v>892</v>
      </c>
      <c r="C148" s="97" t="s">
        <v>943</v>
      </c>
      <c r="D148" s="214">
        <v>13995</v>
      </c>
      <c r="E148" s="215">
        <f t="shared" si="2"/>
        <v>2</v>
      </c>
      <c r="F148" s="10">
        <v>0</v>
      </c>
      <c r="G148" s="10">
        <v>0</v>
      </c>
      <c r="H148" s="10">
        <v>1</v>
      </c>
      <c r="I148" s="216">
        <v>0</v>
      </c>
    </row>
    <row r="149" spans="1:9" x14ac:dyDescent="0.25">
      <c r="A149" s="8">
        <v>2002</v>
      </c>
      <c r="B149" s="10" t="s">
        <v>892</v>
      </c>
      <c r="C149" s="97" t="s">
        <v>944</v>
      </c>
      <c r="D149" s="214">
        <v>12900</v>
      </c>
      <c r="E149" s="215">
        <f t="shared" si="2"/>
        <v>3</v>
      </c>
      <c r="F149" s="10">
        <v>0</v>
      </c>
      <c r="G149" s="10">
        <v>0</v>
      </c>
      <c r="H149" s="10">
        <v>1</v>
      </c>
      <c r="I149" s="216">
        <v>0</v>
      </c>
    </row>
    <row r="150" spans="1:9" x14ac:dyDescent="0.25">
      <c r="A150" s="8">
        <v>2002</v>
      </c>
      <c r="B150" s="10" t="s">
        <v>892</v>
      </c>
      <c r="C150" s="97" t="s">
        <v>945</v>
      </c>
      <c r="D150" s="214">
        <v>15675</v>
      </c>
      <c r="E150" s="215">
        <f t="shared" si="2"/>
        <v>3</v>
      </c>
      <c r="F150" s="10">
        <v>0</v>
      </c>
      <c r="G150" s="10">
        <v>0</v>
      </c>
      <c r="H150" s="10">
        <v>1</v>
      </c>
      <c r="I150" s="216">
        <v>0</v>
      </c>
    </row>
    <row r="151" spans="1:9" x14ac:dyDescent="0.25">
      <c r="A151" s="8">
        <v>2002</v>
      </c>
      <c r="B151" s="10" t="s">
        <v>892</v>
      </c>
      <c r="C151" s="97" t="s">
        <v>945</v>
      </c>
      <c r="D151" s="214">
        <v>13995</v>
      </c>
      <c r="E151" s="215">
        <f t="shared" si="2"/>
        <v>3</v>
      </c>
      <c r="F151" s="10">
        <v>0</v>
      </c>
      <c r="G151" s="10">
        <v>0</v>
      </c>
      <c r="H151" s="10">
        <v>1</v>
      </c>
      <c r="I151" s="216">
        <v>0</v>
      </c>
    </row>
    <row r="152" spans="1:9" x14ac:dyDescent="0.25">
      <c r="A152" s="8">
        <v>2002</v>
      </c>
      <c r="B152" s="10" t="s">
        <v>892</v>
      </c>
      <c r="C152" s="97" t="s">
        <v>946</v>
      </c>
      <c r="D152" s="214">
        <v>18998</v>
      </c>
      <c r="E152" s="215">
        <f t="shared" si="2"/>
        <v>3</v>
      </c>
      <c r="F152" s="10">
        <v>0</v>
      </c>
      <c r="G152" s="10">
        <v>0</v>
      </c>
      <c r="H152" s="10">
        <v>1</v>
      </c>
      <c r="I152" s="216">
        <v>0</v>
      </c>
    </row>
    <row r="153" spans="1:9" x14ac:dyDescent="0.25">
      <c r="A153" s="8">
        <v>2003</v>
      </c>
      <c r="B153" s="10" t="s">
        <v>892</v>
      </c>
      <c r="C153" s="97" t="s">
        <v>947</v>
      </c>
      <c r="D153" s="214">
        <v>21900</v>
      </c>
      <c r="E153" s="215">
        <f t="shared" si="2"/>
        <v>2</v>
      </c>
      <c r="F153" s="10">
        <v>0</v>
      </c>
      <c r="G153" s="10">
        <v>0</v>
      </c>
      <c r="H153" s="10">
        <v>1</v>
      </c>
      <c r="I153" s="216">
        <v>0</v>
      </c>
    </row>
    <row r="154" spans="1:9" x14ac:dyDescent="0.25">
      <c r="A154" s="8">
        <v>2003</v>
      </c>
      <c r="B154" s="10" t="s">
        <v>892</v>
      </c>
      <c r="C154" s="97" t="s">
        <v>948</v>
      </c>
      <c r="D154" s="214">
        <v>16799</v>
      </c>
      <c r="E154" s="215">
        <f t="shared" si="2"/>
        <v>2</v>
      </c>
      <c r="F154" s="10">
        <v>0</v>
      </c>
      <c r="G154" s="10">
        <v>0</v>
      </c>
      <c r="H154" s="10">
        <v>1</v>
      </c>
      <c r="I154" s="216">
        <v>0</v>
      </c>
    </row>
    <row r="155" spans="1:9" x14ac:dyDescent="0.25">
      <c r="A155" s="8">
        <v>2002</v>
      </c>
      <c r="B155" s="10" t="s">
        <v>892</v>
      </c>
      <c r="C155" s="97" t="s">
        <v>949</v>
      </c>
      <c r="D155" s="214">
        <v>17295</v>
      </c>
      <c r="E155" s="215">
        <f t="shared" si="2"/>
        <v>3</v>
      </c>
      <c r="F155" s="10">
        <v>0</v>
      </c>
      <c r="G155" s="10">
        <v>0</v>
      </c>
      <c r="H155" s="10">
        <v>1</v>
      </c>
      <c r="I155" s="216">
        <v>0</v>
      </c>
    </row>
    <row r="156" spans="1:9" x14ac:dyDescent="0.25">
      <c r="A156" s="8">
        <v>2002</v>
      </c>
      <c r="B156" s="10" t="s">
        <v>892</v>
      </c>
      <c r="C156" s="97" t="s">
        <v>950</v>
      </c>
      <c r="D156" s="214">
        <v>11995</v>
      </c>
      <c r="E156" s="215">
        <f t="shared" si="2"/>
        <v>3</v>
      </c>
      <c r="F156" s="10">
        <v>0</v>
      </c>
      <c r="G156" s="10">
        <v>0</v>
      </c>
      <c r="H156" s="10">
        <v>1</v>
      </c>
      <c r="I156" s="216">
        <v>0</v>
      </c>
    </row>
    <row r="157" spans="1:9" x14ac:dyDescent="0.25">
      <c r="A157" s="8">
        <v>2002</v>
      </c>
      <c r="B157" s="10" t="s">
        <v>892</v>
      </c>
      <c r="C157" s="97" t="s">
        <v>951</v>
      </c>
      <c r="D157" s="214">
        <v>12995</v>
      </c>
      <c r="E157" s="215">
        <f t="shared" si="2"/>
        <v>3</v>
      </c>
      <c r="F157" s="10">
        <v>0</v>
      </c>
      <c r="G157" s="10">
        <v>0</v>
      </c>
      <c r="H157" s="10">
        <v>1</v>
      </c>
      <c r="I157" s="216">
        <v>0</v>
      </c>
    </row>
    <row r="158" spans="1:9" x14ac:dyDescent="0.25">
      <c r="A158" s="8">
        <v>1999</v>
      </c>
      <c r="B158" s="10" t="s">
        <v>892</v>
      </c>
      <c r="C158" s="97" t="s">
        <v>952</v>
      </c>
      <c r="D158" s="214">
        <v>7300</v>
      </c>
      <c r="E158" s="215">
        <f t="shared" si="2"/>
        <v>6</v>
      </c>
      <c r="F158" s="10">
        <v>0</v>
      </c>
      <c r="G158" s="10">
        <v>0</v>
      </c>
      <c r="H158" s="10">
        <v>1</v>
      </c>
      <c r="I158" s="216">
        <v>0</v>
      </c>
    </row>
    <row r="159" spans="1:9" x14ac:dyDescent="0.25">
      <c r="A159" s="8">
        <v>2001</v>
      </c>
      <c r="B159" s="10" t="s">
        <v>892</v>
      </c>
      <c r="C159" s="97" t="s">
        <v>953</v>
      </c>
      <c r="D159" s="214">
        <v>16980</v>
      </c>
      <c r="E159" s="215">
        <f t="shared" si="2"/>
        <v>4</v>
      </c>
      <c r="F159" s="10">
        <v>0</v>
      </c>
      <c r="G159" s="10">
        <v>0</v>
      </c>
      <c r="H159" s="10">
        <v>1</v>
      </c>
      <c r="I159" s="216">
        <v>0</v>
      </c>
    </row>
    <row r="160" spans="1:9" x14ac:dyDescent="0.25">
      <c r="A160" s="8">
        <v>2001</v>
      </c>
      <c r="B160" s="10" t="s">
        <v>892</v>
      </c>
      <c r="C160" s="97" t="s">
        <v>954</v>
      </c>
      <c r="D160" s="214">
        <v>9995</v>
      </c>
      <c r="E160" s="215">
        <f t="shared" si="2"/>
        <v>4</v>
      </c>
      <c r="F160" s="10">
        <v>0</v>
      </c>
      <c r="G160" s="10">
        <v>0</v>
      </c>
      <c r="H160" s="10">
        <v>1</v>
      </c>
      <c r="I160" s="216">
        <v>0</v>
      </c>
    </row>
    <row r="161" spans="1:9" x14ac:dyDescent="0.25">
      <c r="A161" s="8">
        <v>2003</v>
      </c>
      <c r="B161" s="10" t="s">
        <v>892</v>
      </c>
      <c r="C161" s="97" t="s">
        <v>955</v>
      </c>
      <c r="D161" s="214">
        <v>15900</v>
      </c>
      <c r="E161" s="215">
        <f t="shared" si="2"/>
        <v>2</v>
      </c>
      <c r="F161" s="10">
        <v>0</v>
      </c>
      <c r="G161" s="10">
        <v>0</v>
      </c>
      <c r="H161" s="10">
        <v>1</v>
      </c>
      <c r="I161" s="216">
        <v>0</v>
      </c>
    </row>
    <row r="162" spans="1:9" x14ac:dyDescent="0.25">
      <c r="A162" s="8">
        <v>2002</v>
      </c>
      <c r="B162" s="10" t="s">
        <v>892</v>
      </c>
      <c r="C162" s="97" t="s">
        <v>956</v>
      </c>
      <c r="D162" s="214">
        <v>11995</v>
      </c>
      <c r="E162" s="215">
        <f t="shared" si="2"/>
        <v>3</v>
      </c>
      <c r="F162" s="10">
        <v>0</v>
      </c>
      <c r="G162" s="10">
        <v>0</v>
      </c>
      <c r="H162" s="10">
        <v>1</v>
      </c>
      <c r="I162" s="216">
        <v>0</v>
      </c>
    </row>
    <row r="163" spans="1:9" x14ac:dyDescent="0.25">
      <c r="A163" s="8">
        <v>2002</v>
      </c>
      <c r="B163" s="10" t="s">
        <v>892</v>
      </c>
      <c r="C163" s="97" t="s">
        <v>957</v>
      </c>
      <c r="D163" s="214">
        <v>14995</v>
      </c>
      <c r="E163" s="215">
        <f t="shared" si="2"/>
        <v>3</v>
      </c>
      <c r="F163" s="10">
        <v>0</v>
      </c>
      <c r="G163" s="10">
        <v>0</v>
      </c>
      <c r="H163" s="10">
        <v>1</v>
      </c>
      <c r="I163" s="216">
        <v>0</v>
      </c>
    </row>
    <row r="164" spans="1:9" x14ac:dyDescent="0.25">
      <c r="A164" s="8">
        <v>2001</v>
      </c>
      <c r="B164" s="10" t="s">
        <v>892</v>
      </c>
      <c r="C164" s="97" t="s">
        <v>958</v>
      </c>
      <c r="D164" s="214">
        <v>7995</v>
      </c>
      <c r="E164" s="215">
        <f t="shared" si="2"/>
        <v>4</v>
      </c>
      <c r="F164" s="10">
        <v>0</v>
      </c>
      <c r="G164" s="10">
        <v>0</v>
      </c>
      <c r="H164" s="10">
        <v>1</v>
      </c>
      <c r="I164" s="216">
        <v>0</v>
      </c>
    </row>
    <row r="165" spans="1:9" x14ac:dyDescent="0.25">
      <c r="A165" s="8">
        <v>2002</v>
      </c>
      <c r="B165" s="10" t="s">
        <v>892</v>
      </c>
      <c r="C165" s="97" t="s">
        <v>959</v>
      </c>
      <c r="D165" s="214">
        <v>11995</v>
      </c>
      <c r="E165" s="215">
        <f t="shared" si="2"/>
        <v>3</v>
      </c>
      <c r="F165" s="10">
        <v>0</v>
      </c>
      <c r="G165" s="10">
        <v>0</v>
      </c>
      <c r="H165" s="10">
        <v>1</v>
      </c>
      <c r="I165" s="216">
        <v>0</v>
      </c>
    </row>
    <row r="166" spans="1:9" x14ac:dyDescent="0.25">
      <c r="A166" s="8">
        <v>2002</v>
      </c>
      <c r="B166" s="10" t="s">
        <v>892</v>
      </c>
      <c r="C166" s="97" t="s">
        <v>960</v>
      </c>
      <c r="D166" s="214">
        <v>12995</v>
      </c>
      <c r="E166" s="215">
        <f t="shared" si="2"/>
        <v>3</v>
      </c>
      <c r="F166" s="10">
        <v>0</v>
      </c>
      <c r="G166" s="10">
        <v>0</v>
      </c>
      <c r="H166" s="10">
        <v>1</v>
      </c>
      <c r="I166" s="216">
        <v>0</v>
      </c>
    </row>
    <row r="167" spans="1:9" x14ac:dyDescent="0.25">
      <c r="A167" s="8">
        <v>2002</v>
      </c>
      <c r="B167" s="10" t="s">
        <v>892</v>
      </c>
      <c r="C167" s="97" t="s">
        <v>961</v>
      </c>
      <c r="D167" s="214">
        <v>15995</v>
      </c>
      <c r="E167" s="215">
        <f t="shared" si="2"/>
        <v>3</v>
      </c>
      <c r="F167" s="10">
        <v>0</v>
      </c>
      <c r="G167" s="10">
        <v>0</v>
      </c>
      <c r="H167" s="10">
        <v>1</v>
      </c>
      <c r="I167" s="216">
        <v>0</v>
      </c>
    </row>
    <row r="168" spans="1:9" x14ac:dyDescent="0.25">
      <c r="A168" s="8">
        <v>2002</v>
      </c>
      <c r="B168" s="10" t="s">
        <v>892</v>
      </c>
      <c r="C168" s="97" t="s">
        <v>961</v>
      </c>
      <c r="D168" s="214">
        <v>12975</v>
      </c>
      <c r="E168" s="215">
        <f t="shared" si="2"/>
        <v>3</v>
      </c>
      <c r="F168" s="10">
        <v>0</v>
      </c>
      <c r="G168" s="10">
        <v>0</v>
      </c>
      <c r="H168" s="10">
        <v>1</v>
      </c>
      <c r="I168" s="216">
        <v>0</v>
      </c>
    </row>
    <row r="169" spans="1:9" x14ac:dyDescent="0.25">
      <c r="A169" s="8">
        <v>1999</v>
      </c>
      <c r="B169" s="10" t="s">
        <v>892</v>
      </c>
      <c r="C169" s="97" t="s">
        <v>961</v>
      </c>
      <c r="D169" s="214">
        <v>8999</v>
      </c>
      <c r="E169" s="215">
        <f t="shared" si="2"/>
        <v>6</v>
      </c>
      <c r="F169" s="10">
        <v>0</v>
      </c>
      <c r="G169" s="10">
        <v>0</v>
      </c>
      <c r="H169" s="10">
        <v>1</v>
      </c>
      <c r="I169" s="216">
        <v>0</v>
      </c>
    </row>
    <row r="170" spans="1:9" x14ac:dyDescent="0.25">
      <c r="A170" s="8">
        <v>1999</v>
      </c>
      <c r="B170" s="10" t="s">
        <v>892</v>
      </c>
      <c r="C170" s="97" t="s">
        <v>961</v>
      </c>
      <c r="D170" s="214">
        <v>6975</v>
      </c>
      <c r="E170" s="215">
        <f t="shared" si="2"/>
        <v>6</v>
      </c>
      <c r="F170" s="10">
        <v>0</v>
      </c>
      <c r="G170" s="10">
        <v>0</v>
      </c>
      <c r="H170" s="10">
        <v>1</v>
      </c>
      <c r="I170" s="216">
        <v>0</v>
      </c>
    </row>
    <row r="171" spans="1:9" x14ac:dyDescent="0.25">
      <c r="A171" s="8">
        <v>1999</v>
      </c>
      <c r="B171" s="10" t="s">
        <v>892</v>
      </c>
      <c r="C171" s="97" t="s">
        <v>962</v>
      </c>
      <c r="D171" s="214">
        <v>9950</v>
      </c>
      <c r="E171" s="215">
        <f t="shared" si="2"/>
        <v>6</v>
      </c>
      <c r="F171" s="10">
        <v>0</v>
      </c>
      <c r="G171" s="10">
        <v>0</v>
      </c>
      <c r="H171" s="10">
        <v>1</v>
      </c>
      <c r="I171" s="216">
        <v>0</v>
      </c>
    </row>
    <row r="172" spans="1:9" x14ac:dyDescent="0.25">
      <c r="A172" s="8">
        <v>2003</v>
      </c>
      <c r="B172" s="10" t="s">
        <v>892</v>
      </c>
      <c r="C172" s="97" t="s">
        <v>963</v>
      </c>
      <c r="D172" s="214">
        <v>18783</v>
      </c>
      <c r="E172" s="215">
        <f t="shared" si="2"/>
        <v>2</v>
      </c>
      <c r="F172" s="10">
        <v>0</v>
      </c>
      <c r="G172" s="10">
        <v>0</v>
      </c>
      <c r="H172" s="10">
        <v>1</v>
      </c>
      <c r="I172" s="216">
        <v>0</v>
      </c>
    </row>
    <row r="173" spans="1:9" x14ac:dyDescent="0.25">
      <c r="A173" s="8">
        <v>1999</v>
      </c>
      <c r="B173" s="10" t="s">
        <v>892</v>
      </c>
      <c r="C173" s="97" t="s">
        <v>964</v>
      </c>
      <c r="D173" s="214">
        <v>6995</v>
      </c>
      <c r="E173" s="215">
        <f t="shared" si="2"/>
        <v>6</v>
      </c>
      <c r="F173" s="10">
        <v>0</v>
      </c>
      <c r="G173" s="10">
        <v>0</v>
      </c>
      <c r="H173" s="10">
        <v>1</v>
      </c>
      <c r="I173" s="216">
        <v>0</v>
      </c>
    </row>
    <row r="174" spans="1:9" x14ac:dyDescent="0.25">
      <c r="A174" s="8">
        <v>2000</v>
      </c>
      <c r="B174" s="10" t="s">
        <v>892</v>
      </c>
      <c r="C174" s="97" t="s">
        <v>965</v>
      </c>
      <c r="D174" s="214">
        <v>9857</v>
      </c>
      <c r="E174" s="215">
        <f t="shared" si="2"/>
        <v>5</v>
      </c>
      <c r="F174" s="10">
        <v>0</v>
      </c>
      <c r="G174" s="10">
        <v>1</v>
      </c>
      <c r="H174" s="10">
        <v>0</v>
      </c>
      <c r="I174" s="216">
        <v>0</v>
      </c>
    </row>
    <row r="175" spans="1:9" x14ac:dyDescent="0.25">
      <c r="A175" s="8">
        <v>2003</v>
      </c>
      <c r="B175" s="10" t="s">
        <v>892</v>
      </c>
      <c r="C175" s="97" t="s">
        <v>965</v>
      </c>
      <c r="D175" s="214">
        <v>18995</v>
      </c>
      <c r="E175" s="215">
        <f t="shared" si="2"/>
        <v>2</v>
      </c>
      <c r="F175" s="10">
        <v>0</v>
      </c>
      <c r="G175" s="10">
        <v>0</v>
      </c>
      <c r="H175" s="10">
        <v>1</v>
      </c>
      <c r="I175" s="216">
        <v>0</v>
      </c>
    </row>
    <row r="176" spans="1:9" x14ac:dyDescent="0.25">
      <c r="A176" s="8">
        <v>2002</v>
      </c>
      <c r="B176" s="10" t="s">
        <v>892</v>
      </c>
      <c r="C176" s="97" t="s">
        <v>965</v>
      </c>
      <c r="D176" s="214">
        <v>15990</v>
      </c>
      <c r="E176" s="215">
        <f t="shared" si="2"/>
        <v>3</v>
      </c>
      <c r="F176" s="10">
        <v>0</v>
      </c>
      <c r="G176" s="10">
        <v>0</v>
      </c>
      <c r="H176" s="10">
        <v>1</v>
      </c>
      <c r="I176" s="216">
        <v>0</v>
      </c>
    </row>
    <row r="177" spans="1:9" x14ac:dyDescent="0.25">
      <c r="A177" s="8">
        <v>2003</v>
      </c>
      <c r="B177" s="10" t="s">
        <v>892</v>
      </c>
      <c r="C177" s="97" t="s">
        <v>965</v>
      </c>
      <c r="D177" s="214">
        <v>21395</v>
      </c>
      <c r="E177" s="215">
        <f t="shared" si="2"/>
        <v>2</v>
      </c>
      <c r="F177" s="10">
        <v>0</v>
      </c>
      <c r="G177" s="10">
        <v>0</v>
      </c>
      <c r="H177" s="10">
        <v>1</v>
      </c>
      <c r="I177" s="216">
        <v>0</v>
      </c>
    </row>
    <row r="178" spans="1:9" x14ac:dyDescent="0.25">
      <c r="A178" s="8">
        <v>2001</v>
      </c>
      <c r="B178" s="10" t="s">
        <v>892</v>
      </c>
      <c r="C178" s="97" t="s">
        <v>966</v>
      </c>
      <c r="D178" s="214">
        <v>13900</v>
      </c>
      <c r="E178" s="215">
        <f t="shared" si="2"/>
        <v>4</v>
      </c>
      <c r="F178" s="10">
        <v>0</v>
      </c>
      <c r="G178" s="10">
        <v>0</v>
      </c>
      <c r="H178" s="10">
        <v>1</v>
      </c>
      <c r="I178" s="216">
        <v>0</v>
      </c>
    </row>
    <row r="179" spans="1:9" x14ac:dyDescent="0.25">
      <c r="A179" s="8">
        <v>2001</v>
      </c>
      <c r="B179" s="10" t="s">
        <v>828</v>
      </c>
      <c r="C179" s="97" t="s">
        <v>967</v>
      </c>
      <c r="D179" s="214">
        <v>10900</v>
      </c>
      <c r="E179" s="215">
        <f t="shared" si="2"/>
        <v>4</v>
      </c>
      <c r="F179" s="10">
        <v>0</v>
      </c>
      <c r="G179" s="10">
        <v>0</v>
      </c>
      <c r="H179" s="10">
        <v>0</v>
      </c>
      <c r="I179" s="216">
        <v>1</v>
      </c>
    </row>
    <row r="180" spans="1:9" x14ac:dyDescent="0.25">
      <c r="A180" s="8">
        <v>1994</v>
      </c>
      <c r="B180" s="10" t="s">
        <v>828</v>
      </c>
      <c r="C180" s="97" t="s">
        <v>968</v>
      </c>
      <c r="D180" s="214">
        <v>5996</v>
      </c>
      <c r="E180" s="215">
        <f t="shared" si="2"/>
        <v>11</v>
      </c>
      <c r="F180" s="10">
        <v>0</v>
      </c>
      <c r="G180" s="10">
        <v>0</v>
      </c>
      <c r="H180" s="10">
        <v>0</v>
      </c>
      <c r="I180" s="216">
        <v>1</v>
      </c>
    </row>
    <row r="181" spans="1:9" x14ac:dyDescent="0.25">
      <c r="A181" s="8">
        <v>2003</v>
      </c>
      <c r="B181" s="10" t="s">
        <v>828</v>
      </c>
      <c r="C181" s="97" t="s">
        <v>969</v>
      </c>
      <c r="D181" s="214">
        <v>14995</v>
      </c>
      <c r="E181" s="215">
        <f t="shared" si="2"/>
        <v>2</v>
      </c>
      <c r="F181" s="10">
        <v>0</v>
      </c>
      <c r="G181" s="10">
        <v>0</v>
      </c>
      <c r="H181" s="10">
        <v>0</v>
      </c>
      <c r="I181" s="216">
        <v>1</v>
      </c>
    </row>
    <row r="182" spans="1:9" x14ac:dyDescent="0.25">
      <c r="A182" s="8">
        <v>2001</v>
      </c>
      <c r="B182" s="10" t="s">
        <v>828</v>
      </c>
      <c r="C182" s="97" t="s">
        <v>970</v>
      </c>
      <c r="D182" s="214">
        <v>15495</v>
      </c>
      <c r="E182" s="215">
        <f t="shared" si="2"/>
        <v>4</v>
      </c>
      <c r="F182" s="10">
        <v>0</v>
      </c>
      <c r="G182" s="10">
        <v>0</v>
      </c>
      <c r="H182" s="10">
        <v>0</v>
      </c>
      <c r="I182" s="216">
        <v>1</v>
      </c>
    </row>
    <row r="183" spans="1:9" x14ac:dyDescent="0.25">
      <c r="A183" s="8">
        <v>2001</v>
      </c>
      <c r="B183" s="10" t="s">
        <v>892</v>
      </c>
      <c r="C183" s="97" t="s">
        <v>971</v>
      </c>
      <c r="D183" s="214">
        <v>19995</v>
      </c>
      <c r="E183" s="215">
        <f t="shared" si="2"/>
        <v>4</v>
      </c>
      <c r="F183" s="10">
        <v>0</v>
      </c>
      <c r="G183" s="10">
        <v>1</v>
      </c>
      <c r="H183" s="10">
        <v>0</v>
      </c>
      <c r="I183" s="216">
        <v>0</v>
      </c>
    </row>
    <row r="184" spans="1:9" x14ac:dyDescent="0.25">
      <c r="A184" s="8">
        <v>2001</v>
      </c>
      <c r="B184" s="10" t="s">
        <v>892</v>
      </c>
      <c r="C184" s="97" t="s">
        <v>972</v>
      </c>
      <c r="D184" s="214">
        <v>16995</v>
      </c>
      <c r="E184" s="215">
        <f t="shared" si="2"/>
        <v>4</v>
      </c>
      <c r="F184" s="10">
        <v>0</v>
      </c>
      <c r="G184" s="10">
        <v>1</v>
      </c>
      <c r="H184" s="10">
        <v>0</v>
      </c>
      <c r="I184" s="216">
        <v>0</v>
      </c>
    </row>
    <row r="185" spans="1:9" x14ac:dyDescent="0.25">
      <c r="A185" s="8">
        <v>1968</v>
      </c>
      <c r="B185" s="10" t="s">
        <v>892</v>
      </c>
      <c r="C185" s="97" t="s">
        <v>973</v>
      </c>
      <c r="D185" s="214">
        <v>5500</v>
      </c>
      <c r="E185" s="215">
        <f t="shared" si="2"/>
        <v>37</v>
      </c>
      <c r="F185" s="10">
        <v>0</v>
      </c>
      <c r="G185" s="10">
        <v>1</v>
      </c>
      <c r="H185" s="10">
        <v>0</v>
      </c>
      <c r="I185" s="216">
        <v>0</v>
      </c>
    </row>
    <row r="186" spans="1:9" x14ac:dyDescent="0.25">
      <c r="A186" s="8">
        <v>2003</v>
      </c>
      <c r="B186" s="10" t="s">
        <v>892</v>
      </c>
      <c r="C186" s="97" t="s">
        <v>974</v>
      </c>
      <c r="D186" s="214">
        <v>13855</v>
      </c>
      <c r="E186" s="215">
        <f t="shared" si="2"/>
        <v>2</v>
      </c>
      <c r="F186" s="10">
        <v>0</v>
      </c>
      <c r="G186" s="10">
        <v>1</v>
      </c>
      <c r="H186" s="10">
        <v>0</v>
      </c>
      <c r="I186" s="216">
        <v>0</v>
      </c>
    </row>
    <row r="187" spans="1:9" x14ac:dyDescent="0.25">
      <c r="A187" s="8">
        <v>2003</v>
      </c>
      <c r="B187" s="10" t="s">
        <v>892</v>
      </c>
      <c r="C187" s="97" t="s">
        <v>975</v>
      </c>
      <c r="D187" s="214">
        <v>16980</v>
      </c>
      <c r="E187" s="215">
        <f t="shared" si="2"/>
        <v>2</v>
      </c>
      <c r="F187" s="10">
        <v>0</v>
      </c>
      <c r="G187" s="10">
        <v>1</v>
      </c>
      <c r="H187" s="10">
        <v>0</v>
      </c>
      <c r="I187" s="216">
        <v>0</v>
      </c>
    </row>
    <row r="188" spans="1:9" x14ac:dyDescent="0.25">
      <c r="A188" s="8">
        <v>2003</v>
      </c>
      <c r="B188" s="10" t="s">
        <v>892</v>
      </c>
      <c r="C188" s="97" t="s">
        <v>976</v>
      </c>
      <c r="D188" s="214">
        <v>25975</v>
      </c>
      <c r="E188" s="215">
        <f t="shared" si="2"/>
        <v>2</v>
      </c>
      <c r="F188" s="10">
        <v>0</v>
      </c>
      <c r="G188" s="10">
        <v>1</v>
      </c>
      <c r="H188" s="10">
        <v>0</v>
      </c>
      <c r="I188" s="216">
        <v>0</v>
      </c>
    </row>
    <row r="189" spans="1:9" x14ac:dyDescent="0.25">
      <c r="A189" s="8">
        <v>1998</v>
      </c>
      <c r="B189" s="10" t="s">
        <v>892</v>
      </c>
      <c r="C189" s="97" t="s">
        <v>977</v>
      </c>
      <c r="D189" s="214">
        <v>8500</v>
      </c>
      <c r="E189" s="215">
        <f t="shared" si="2"/>
        <v>7</v>
      </c>
      <c r="F189" s="10">
        <v>0</v>
      </c>
      <c r="G189" s="10">
        <v>1</v>
      </c>
      <c r="H189" s="10">
        <v>0</v>
      </c>
      <c r="I189" s="216">
        <v>0</v>
      </c>
    </row>
    <row r="190" spans="1:9" x14ac:dyDescent="0.25">
      <c r="A190" s="8">
        <v>2004</v>
      </c>
      <c r="B190" s="10" t="s">
        <v>892</v>
      </c>
      <c r="C190" s="97" t="s">
        <v>978</v>
      </c>
      <c r="D190" s="214">
        <v>28885</v>
      </c>
      <c r="E190" s="215">
        <f t="shared" si="2"/>
        <v>1</v>
      </c>
      <c r="F190" s="10">
        <v>0</v>
      </c>
      <c r="G190" s="10">
        <v>1</v>
      </c>
      <c r="H190" s="10">
        <v>0</v>
      </c>
      <c r="I190" s="216">
        <v>0</v>
      </c>
    </row>
    <row r="191" spans="1:9" x14ac:dyDescent="0.25">
      <c r="A191" s="8">
        <v>2002</v>
      </c>
      <c r="B191" s="10" t="s">
        <v>892</v>
      </c>
      <c r="C191" s="97" t="s">
        <v>979</v>
      </c>
      <c r="D191" s="214">
        <v>18975</v>
      </c>
      <c r="E191" s="215">
        <f t="shared" si="2"/>
        <v>3</v>
      </c>
      <c r="F191" s="10">
        <v>0</v>
      </c>
      <c r="G191" s="10">
        <v>1</v>
      </c>
      <c r="H191" s="10">
        <v>0</v>
      </c>
      <c r="I191" s="216">
        <v>0</v>
      </c>
    </row>
    <row r="192" spans="1:9" x14ac:dyDescent="0.25">
      <c r="A192" s="8">
        <v>2001</v>
      </c>
      <c r="B192" s="10" t="s">
        <v>892</v>
      </c>
      <c r="C192" s="97" t="s">
        <v>980</v>
      </c>
      <c r="D192" s="214">
        <v>15995</v>
      </c>
      <c r="E192" s="215">
        <f t="shared" si="2"/>
        <v>4</v>
      </c>
      <c r="F192" s="10">
        <v>0</v>
      </c>
      <c r="G192" s="10">
        <v>1</v>
      </c>
      <c r="H192" s="10">
        <v>0</v>
      </c>
      <c r="I192" s="216">
        <v>0</v>
      </c>
    </row>
    <row r="193" spans="1:9" x14ac:dyDescent="0.25">
      <c r="A193" s="8">
        <v>2002</v>
      </c>
      <c r="B193" s="10" t="s">
        <v>892</v>
      </c>
      <c r="C193" s="97" t="s">
        <v>981</v>
      </c>
      <c r="D193" s="214">
        <v>23980</v>
      </c>
      <c r="E193" s="215">
        <f t="shared" si="2"/>
        <v>3</v>
      </c>
      <c r="F193" s="10">
        <v>0</v>
      </c>
      <c r="G193" s="10">
        <v>1</v>
      </c>
      <c r="H193" s="10">
        <v>0</v>
      </c>
      <c r="I193" s="216">
        <v>0</v>
      </c>
    </row>
    <row r="194" spans="1:9" x14ac:dyDescent="0.25">
      <c r="A194" s="8">
        <v>2003</v>
      </c>
      <c r="B194" s="10" t="s">
        <v>892</v>
      </c>
      <c r="C194" s="97" t="s">
        <v>982</v>
      </c>
      <c r="D194" s="214">
        <v>24995</v>
      </c>
      <c r="E194" s="215">
        <f t="shared" ref="E194:E257" si="3">2005-A194</f>
        <v>2</v>
      </c>
      <c r="F194" s="10">
        <v>0</v>
      </c>
      <c r="G194" s="10">
        <v>1</v>
      </c>
      <c r="H194" s="10">
        <v>0</v>
      </c>
      <c r="I194" s="216">
        <v>0</v>
      </c>
    </row>
    <row r="195" spans="1:9" x14ac:dyDescent="0.25">
      <c r="A195" s="8">
        <v>2002</v>
      </c>
      <c r="B195" s="10" t="s">
        <v>892</v>
      </c>
      <c r="C195" s="97" t="s">
        <v>983</v>
      </c>
      <c r="D195" s="214">
        <v>23980</v>
      </c>
      <c r="E195" s="215">
        <f t="shared" si="3"/>
        <v>3</v>
      </c>
      <c r="F195" s="10">
        <v>0</v>
      </c>
      <c r="G195" s="10">
        <v>1</v>
      </c>
      <c r="H195" s="10">
        <v>0</v>
      </c>
      <c r="I195" s="216">
        <v>0</v>
      </c>
    </row>
    <row r="196" spans="1:9" x14ac:dyDescent="0.25">
      <c r="A196" s="8">
        <v>2004</v>
      </c>
      <c r="B196" s="10" t="s">
        <v>892</v>
      </c>
      <c r="C196" s="97" t="s">
        <v>984</v>
      </c>
      <c r="D196" s="214">
        <v>22911</v>
      </c>
      <c r="E196" s="215">
        <f t="shared" si="3"/>
        <v>1</v>
      </c>
      <c r="F196" s="10">
        <v>0</v>
      </c>
      <c r="G196" s="10">
        <v>1</v>
      </c>
      <c r="H196" s="10">
        <v>0</v>
      </c>
      <c r="I196" s="216">
        <v>0</v>
      </c>
    </row>
    <row r="197" spans="1:9" x14ac:dyDescent="0.25">
      <c r="A197" s="8">
        <v>1997</v>
      </c>
      <c r="B197" s="10" t="s">
        <v>892</v>
      </c>
      <c r="C197" s="97" t="s">
        <v>985</v>
      </c>
      <c r="D197" s="214">
        <v>8995</v>
      </c>
      <c r="E197" s="215">
        <f t="shared" si="3"/>
        <v>8</v>
      </c>
      <c r="F197" s="10">
        <v>0</v>
      </c>
      <c r="G197" s="10">
        <v>1</v>
      </c>
      <c r="H197" s="10">
        <v>0</v>
      </c>
      <c r="I197" s="216">
        <v>0</v>
      </c>
    </row>
    <row r="198" spans="1:9" x14ac:dyDescent="0.25">
      <c r="A198" s="8">
        <v>2002</v>
      </c>
      <c r="B198" s="10" t="s">
        <v>892</v>
      </c>
      <c r="C198" s="97" t="s">
        <v>986</v>
      </c>
      <c r="D198" s="214">
        <v>19997</v>
      </c>
      <c r="E198" s="215">
        <f t="shared" si="3"/>
        <v>3</v>
      </c>
      <c r="F198" s="10">
        <v>0</v>
      </c>
      <c r="G198" s="10">
        <v>1</v>
      </c>
      <c r="H198" s="10">
        <v>0</v>
      </c>
      <c r="I198" s="216">
        <v>0</v>
      </c>
    </row>
    <row r="199" spans="1:9" x14ac:dyDescent="0.25">
      <c r="A199" s="8">
        <v>2001</v>
      </c>
      <c r="B199" s="10" t="s">
        <v>892</v>
      </c>
      <c r="C199" s="97" t="s">
        <v>987</v>
      </c>
      <c r="D199" s="214">
        <v>17995</v>
      </c>
      <c r="E199" s="215">
        <f t="shared" si="3"/>
        <v>4</v>
      </c>
      <c r="F199" s="10">
        <v>0</v>
      </c>
      <c r="G199" s="10">
        <v>1</v>
      </c>
      <c r="H199" s="10">
        <v>0</v>
      </c>
      <c r="I199" s="216">
        <v>0</v>
      </c>
    </row>
    <row r="200" spans="1:9" x14ac:dyDescent="0.25">
      <c r="A200" s="8">
        <v>1997</v>
      </c>
      <c r="B200" s="10" t="s">
        <v>892</v>
      </c>
      <c r="C200" s="97" t="s">
        <v>988</v>
      </c>
      <c r="D200" s="214">
        <v>6995</v>
      </c>
      <c r="E200" s="215">
        <f t="shared" si="3"/>
        <v>8</v>
      </c>
      <c r="F200" s="10">
        <v>0</v>
      </c>
      <c r="G200" s="10">
        <v>1</v>
      </c>
      <c r="H200" s="10">
        <v>0</v>
      </c>
      <c r="I200" s="216">
        <v>0</v>
      </c>
    </row>
    <row r="201" spans="1:9" x14ac:dyDescent="0.25">
      <c r="A201" s="8">
        <v>1997</v>
      </c>
      <c r="B201" s="10" t="s">
        <v>892</v>
      </c>
      <c r="C201" s="97" t="s">
        <v>988</v>
      </c>
      <c r="D201" s="214">
        <v>6995</v>
      </c>
      <c r="E201" s="215">
        <f t="shared" si="3"/>
        <v>8</v>
      </c>
      <c r="F201" s="10">
        <v>0</v>
      </c>
      <c r="G201" s="10">
        <v>1</v>
      </c>
      <c r="H201" s="10">
        <v>0</v>
      </c>
      <c r="I201" s="216">
        <v>0</v>
      </c>
    </row>
    <row r="202" spans="1:9" x14ac:dyDescent="0.25">
      <c r="A202" s="8">
        <v>1995</v>
      </c>
      <c r="B202" s="10" t="s">
        <v>892</v>
      </c>
      <c r="C202" s="97" t="s">
        <v>989</v>
      </c>
      <c r="D202" s="214">
        <v>7995</v>
      </c>
      <c r="E202" s="215">
        <f t="shared" si="3"/>
        <v>10</v>
      </c>
      <c r="F202" s="10">
        <v>0</v>
      </c>
      <c r="G202" s="10">
        <v>1</v>
      </c>
      <c r="H202" s="10">
        <v>0</v>
      </c>
      <c r="I202" s="216">
        <v>0</v>
      </c>
    </row>
    <row r="203" spans="1:9" x14ac:dyDescent="0.25">
      <c r="A203" s="8">
        <v>2003</v>
      </c>
      <c r="B203" s="10" t="s">
        <v>892</v>
      </c>
      <c r="C203" s="97" t="s">
        <v>990</v>
      </c>
      <c r="D203" s="214">
        <v>18995</v>
      </c>
      <c r="E203" s="215">
        <f t="shared" si="3"/>
        <v>2</v>
      </c>
      <c r="F203" s="10">
        <v>0</v>
      </c>
      <c r="G203" s="10">
        <v>1</v>
      </c>
      <c r="H203" s="10">
        <v>0</v>
      </c>
      <c r="I203" s="216">
        <v>0</v>
      </c>
    </row>
    <row r="204" spans="1:9" x14ac:dyDescent="0.25">
      <c r="A204" s="8">
        <v>2001</v>
      </c>
      <c r="B204" s="10" t="s">
        <v>892</v>
      </c>
      <c r="C204" s="97" t="s">
        <v>991</v>
      </c>
      <c r="D204" s="214">
        <v>18995</v>
      </c>
      <c r="E204" s="215">
        <f t="shared" si="3"/>
        <v>4</v>
      </c>
      <c r="F204" s="10">
        <v>0</v>
      </c>
      <c r="G204" s="10">
        <v>1</v>
      </c>
      <c r="H204" s="10">
        <v>0</v>
      </c>
      <c r="I204" s="216">
        <v>0</v>
      </c>
    </row>
    <row r="205" spans="1:9" x14ac:dyDescent="0.25">
      <c r="A205" s="8">
        <v>2002</v>
      </c>
      <c r="B205" s="10" t="s">
        <v>892</v>
      </c>
      <c r="C205" s="97" t="s">
        <v>992</v>
      </c>
      <c r="D205" s="214">
        <v>16995</v>
      </c>
      <c r="E205" s="215">
        <f t="shared" si="3"/>
        <v>3</v>
      </c>
      <c r="F205" s="10">
        <v>0</v>
      </c>
      <c r="G205" s="10">
        <v>1</v>
      </c>
      <c r="H205" s="10">
        <v>0</v>
      </c>
      <c r="I205" s="216">
        <v>0</v>
      </c>
    </row>
    <row r="206" spans="1:9" x14ac:dyDescent="0.25">
      <c r="A206" s="8">
        <v>2002</v>
      </c>
      <c r="B206" s="10" t="s">
        <v>892</v>
      </c>
      <c r="C206" s="97" t="s">
        <v>993</v>
      </c>
      <c r="D206" s="214">
        <v>18995</v>
      </c>
      <c r="E206" s="215">
        <f t="shared" si="3"/>
        <v>3</v>
      </c>
      <c r="F206" s="10">
        <v>0</v>
      </c>
      <c r="G206" s="10">
        <v>1</v>
      </c>
      <c r="H206" s="10">
        <v>0</v>
      </c>
      <c r="I206" s="216">
        <v>0</v>
      </c>
    </row>
    <row r="207" spans="1:9" x14ac:dyDescent="0.25">
      <c r="A207" s="8">
        <v>2003</v>
      </c>
      <c r="B207" s="10" t="s">
        <v>892</v>
      </c>
      <c r="C207" s="97" t="s">
        <v>994</v>
      </c>
      <c r="D207" s="214">
        <v>19482</v>
      </c>
      <c r="E207" s="215">
        <f t="shared" si="3"/>
        <v>2</v>
      </c>
      <c r="F207" s="10">
        <v>0</v>
      </c>
      <c r="G207" s="10">
        <v>1</v>
      </c>
      <c r="H207" s="10">
        <v>0</v>
      </c>
      <c r="I207" s="216">
        <v>0</v>
      </c>
    </row>
    <row r="208" spans="1:9" x14ac:dyDescent="0.25">
      <c r="A208" s="8">
        <v>2003</v>
      </c>
      <c r="B208" s="10" t="s">
        <v>892</v>
      </c>
      <c r="C208" s="97" t="s">
        <v>995</v>
      </c>
      <c r="D208" s="214">
        <v>24980</v>
      </c>
      <c r="E208" s="215">
        <f t="shared" si="3"/>
        <v>2</v>
      </c>
      <c r="F208" s="10">
        <v>0</v>
      </c>
      <c r="G208" s="10">
        <v>1</v>
      </c>
      <c r="H208" s="10">
        <v>0</v>
      </c>
      <c r="I208" s="216">
        <v>0</v>
      </c>
    </row>
    <row r="209" spans="1:9" x14ac:dyDescent="0.25">
      <c r="A209" s="8">
        <v>2003</v>
      </c>
      <c r="B209" s="10" t="s">
        <v>892</v>
      </c>
      <c r="C209" s="97" t="s">
        <v>996</v>
      </c>
      <c r="D209" s="214">
        <v>23995</v>
      </c>
      <c r="E209" s="215">
        <f t="shared" si="3"/>
        <v>2</v>
      </c>
      <c r="F209" s="10">
        <v>0</v>
      </c>
      <c r="G209" s="10">
        <v>1</v>
      </c>
      <c r="H209" s="10">
        <v>0</v>
      </c>
      <c r="I209" s="216">
        <v>0</v>
      </c>
    </row>
    <row r="210" spans="1:9" x14ac:dyDescent="0.25">
      <c r="A210" s="8">
        <v>2001</v>
      </c>
      <c r="B210" s="10" t="s">
        <v>892</v>
      </c>
      <c r="C210" s="97" t="s">
        <v>996</v>
      </c>
      <c r="D210" s="214">
        <v>18792</v>
      </c>
      <c r="E210" s="215">
        <f t="shared" si="3"/>
        <v>4</v>
      </c>
      <c r="F210" s="10">
        <v>0</v>
      </c>
      <c r="G210" s="10">
        <v>1</v>
      </c>
      <c r="H210" s="10">
        <v>0</v>
      </c>
      <c r="I210" s="216">
        <v>0</v>
      </c>
    </row>
    <row r="211" spans="1:9" x14ac:dyDescent="0.25">
      <c r="A211" s="8">
        <v>2003</v>
      </c>
      <c r="B211" s="10" t="s">
        <v>892</v>
      </c>
      <c r="C211" s="97" t="s">
        <v>996</v>
      </c>
      <c r="D211" s="214">
        <v>22995</v>
      </c>
      <c r="E211" s="215">
        <f t="shared" si="3"/>
        <v>2</v>
      </c>
      <c r="F211" s="10">
        <v>0</v>
      </c>
      <c r="G211" s="10">
        <v>1</v>
      </c>
      <c r="H211" s="10">
        <v>0</v>
      </c>
      <c r="I211" s="216">
        <v>0</v>
      </c>
    </row>
    <row r="212" spans="1:9" x14ac:dyDescent="0.25">
      <c r="A212" s="8">
        <v>2002</v>
      </c>
      <c r="B212" s="10" t="s">
        <v>892</v>
      </c>
      <c r="C212" s="97" t="s">
        <v>997</v>
      </c>
      <c r="D212" s="214">
        <v>15900</v>
      </c>
      <c r="E212" s="215">
        <f t="shared" si="3"/>
        <v>3</v>
      </c>
      <c r="F212" s="10">
        <v>0</v>
      </c>
      <c r="G212" s="10">
        <v>1</v>
      </c>
      <c r="H212" s="10">
        <v>0</v>
      </c>
      <c r="I212" s="216">
        <v>0</v>
      </c>
    </row>
    <row r="213" spans="1:9" x14ac:dyDescent="0.25">
      <c r="A213" s="8">
        <v>2002</v>
      </c>
      <c r="B213" s="10" t="s">
        <v>892</v>
      </c>
      <c r="C213" s="97" t="s">
        <v>998</v>
      </c>
      <c r="D213" s="214">
        <v>149950</v>
      </c>
      <c r="E213" s="215">
        <f t="shared" si="3"/>
        <v>3</v>
      </c>
      <c r="F213" s="10">
        <v>0</v>
      </c>
      <c r="G213" s="10">
        <v>1</v>
      </c>
      <c r="H213" s="10">
        <v>0</v>
      </c>
      <c r="I213" s="216">
        <v>0</v>
      </c>
    </row>
    <row r="214" spans="1:9" x14ac:dyDescent="0.25">
      <c r="A214" s="8">
        <v>2003</v>
      </c>
      <c r="B214" s="10" t="s">
        <v>892</v>
      </c>
      <c r="C214" s="97" t="s">
        <v>999</v>
      </c>
      <c r="D214" s="214">
        <v>25900</v>
      </c>
      <c r="E214" s="215">
        <f t="shared" si="3"/>
        <v>2</v>
      </c>
      <c r="F214" s="10">
        <v>0</v>
      </c>
      <c r="G214" s="10">
        <v>1</v>
      </c>
      <c r="H214" s="10">
        <v>0</v>
      </c>
      <c r="I214" s="216">
        <v>0</v>
      </c>
    </row>
    <row r="215" spans="1:9" x14ac:dyDescent="0.25">
      <c r="A215" s="8">
        <v>2001</v>
      </c>
      <c r="B215" s="10" t="s">
        <v>892</v>
      </c>
      <c r="C215" s="97" t="s">
        <v>1000</v>
      </c>
      <c r="D215" s="214">
        <v>13995</v>
      </c>
      <c r="E215" s="215">
        <f t="shared" si="3"/>
        <v>4</v>
      </c>
      <c r="F215" s="10">
        <v>0</v>
      </c>
      <c r="G215" s="10">
        <v>1</v>
      </c>
      <c r="H215" s="10">
        <v>0</v>
      </c>
      <c r="I215" s="216">
        <v>0</v>
      </c>
    </row>
    <row r="216" spans="1:9" x14ac:dyDescent="0.25">
      <c r="A216" s="8">
        <v>2002</v>
      </c>
      <c r="B216" s="10" t="s">
        <v>892</v>
      </c>
      <c r="C216" s="97" t="s">
        <v>1000</v>
      </c>
      <c r="D216" s="214">
        <v>16995</v>
      </c>
      <c r="E216" s="215">
        <f t="shared" si="3"/>
        <v>3</v>
      </c>
      <c r="F216" s="10">
        <v>0</v>
      </c>
      <c r="G216" s="10">
        <v>1</v>
      </c>
      <c r="H216" s="10">
        <v>0</v>
      </c>
      <c r="I216" s="216">
        <v>0</v>
      </c>
    </row>
    <row r="217" spans="1:9" x14ac:dyDescent="0.25">
      <c r="A217" s="8">
        <v>2001</v>
      </c>
      <c r="B217" s="10" t="s">
        <v>892</v>
      </c>
      <c r="C217" s="97" t="s">
        <v>1001</v>
      </c>
      <c r="D217" s="214">
        <v>13995</v>
      </c>
      <c r="E217" s="215">
        <f t="shared" si="3"/>
        <v>4</v>
      </c>
      <c r="F217" s="10">
        <v>0</v>
      </c>
      <c r="G217" s="10">
        <v>1</v>
      </c>
      <c r="H217" s="10">
        <v>0</v>
      </c>
      <c r="I217" s="216">
        <v>0</v>
      </c>
    </row>
    <row r="218" spans="1:9" x14ac:dyDescent="0.25">
      <c r="A218" s="8">
        <v>2002</v>
      </c>
      <c r="B218" s="10" t="s">
        <v>892</v>
      </c>
      <c r="C218" s="97" t="s">
        <v>1002</v>
      </c>
      <c r="D218" s="214">
        <v>20995</v>
      </c>
      <c r="E218" s="215">
        <f t="shared" si="3"/>
        <v>3</v>
      </c>
      <c r="F218" s="10">
        <v>0</v>
      </c>
      <c r="G218" s="10">
        <v>1</v>
      </c>
      <c r="H218" s="10">
        <v>0</v>
      </c>
      <c r="I218" s="216">
        <v>0</v>
      </c>
    </row>
    <row r="219" spans="1:9" x14ac:dyDescent="0.25">
      <c r="A219" s="8">
        <v>2001</v>
      </c>
      <c r="B219" s="10" t="s">
        <v>892</v>
      </c>
      <c r="C219" s="97" t="s">
        <v>1003</v>
      </c>
      <c r="D219" s="214">
        <v>15995</v>
      </c>
      <c r="E219" s="215">
        <f t="shared" si="3"/>
        <v>4</v>
      </c>
      <c r="F219" s="10">
        <v>0</v>
      </c>
      <c r="G219" s="10">
        <v>1</v>
      </c>
      <c r="H219" s="10">
        <v>0</v>
      </c>
      <c r="I219" s="216">
        <v>0</v>
      </c>
    </row>
    <row r="220" spans="1:9" x14ac:dyDescent="0.25">
      <c r="A220" s="8">
        <v>2003</v>
      </c>
      <c r="B220" s="10" t="s">
        <v>892</v>
      </c>
      <c r="C220" s="97" t="s">
        <v>1004</v>
      </c>
      <c r="D220" s="214">
        <v>17842</v>
      </c>
      <c r="E220" s="215">
        <f t="shared" si="3"/>
        <v>2</v>
      </c>
      <c r="F220" s="10">
        <v>0</v>
      </c>
      <c r="G220" s="10">
        <v>1</v>
      </c>
      <c r="H220" s="10">
        <v>0</v>
      </c>
      <c r="I220" s="216">
        <v>0</v>
      </c>
    </row>
    <row r="221" spans="1:9" x14ac:dyDescent="0.25">
      <c r="A221" s="8">
        <v>1999</v>
      </c>
      <c r="B221" s="10" t="s">
        <v>892</v>
      </c>
      <c r="C221" s="97" t="s">
        <v>1005</v>
      </c>
      <c r="D221" s="214">
        <v>12995</v>
      </c>
      <c r="E221" s="215">
        <f t="shared" si="3"/>
        <v>6</v>
      </c>
      <c r="F221" s="10">
        <v>0</v>
      </c>
      <c r="G221" s="10">
        <v>1</v>
      </c>
      <c r="H221" s="10">
        <v>0</v>
      </c>
      <c r="I221" s="216">
        <v>0</v>
      </c>
    </row>
    <row r="222" spans="1:9" x14ac:dyDescent="0.25">
      <c r="A222" s="8">
        <v>2003</v>
      </c>
      <c r="B222" s="10" t="s">
        <v>892</v>
      </c>
      <c r="C222" s="97" t="s">
        <v>1006</v>
      </c>
      <c r="D222" s="214">
        <v>23995</v>
      </c>
      <c r="E222" s="215">
        <f t="shared" si="3"/>
        <v>2</v>
      </c>
      <c r="F222" s="10">
        <v>0</v>
      </c>
      <c r="G222" s="10">
        <v>1</v>
      </c>
      <c r="H222" s="10">
        <v>0</v>
      </c>
      <c r="I222" s="216">
        <v>0</v>
      </c>
    </row>
    <row r="223" spans="1:9" x14ac:dyDescent="0.25">
      <c r="A223" s="8">
        <v>1998</v>
      </c>
      <c r="B223" s="10" t="s">
        <v>892</v>
      </c>
      <c r="C223" s="97" t="s">
        <v>1007</v>
      </c>
      <c r="D223" s="214">
        <v>9995</v>
      </c>
      <c r="E223" s="215">
        <f t="shared" si="3"/>
        <v>7</v>
      </c>
      <c r="F223" s="10">
        <v>0</v>
      </c>
      <c r="G223" s="10">
        <v>1</v>
      </c>
      <c r="H223" s="10">
        <v>0</v>
      </c>
      <c r="I223" s="216">
        <v>0</v>
      </c>
    </row>
    <row r="224" spans="1:9" x14ac:dyDescent="0.25">
      <c r="A224" s="8">
        <v>2002</v>
      </c>
      <c r="B224" s="10" t="s">
        <v>892</v>
      </c>
      <c r="C224" s="97" t="s">
        <v>1008</v>
      </c>
      <c r="D224" s="214">
        <v>22132</v>
      </c>
      <c r="E224" s="215">
        <f t="shared" si="3"/>
        <v>3</v>
      </c>
      <c r="F224" s="10">
        <v>0</v>
      </c>
      <c r="G224" s="10">
        <v>1</v>
      </c>
      <c r="H224" s="10">
        <v>0</v>
      </c>
      <c r="I224" s="216">
        <v>0</v>
      </c>
    </row>
    <row r="225" spans="1:9" x14ac:dyDescent="0.25">
      <c r="A225" s="8">
        <v>2001</v>
      </c>
      <c r="B225" s="10" t="s">
        <v>892</v>
      </c>
      <c r="C225" s="97" t="s">
        <v>1009</v>
      </c>
      <c r="D225" s="214">
        <v>17995</v>
      </c>
      <c r="E225" s="215">
        <f t="shared" si="3"/>
        <v>4</v>
      </c>
      <c r="F225" s="10">
        <v>0</v>
      </c>
      <c r="G225" s="10">
        <v>1</v>
      </c>
      <c r="H225" s="10">
        <v>0</v>
      </c>
      <c r="I225" s="216">
        <v>0</v>
      </c>
    </row>
    <row r="226" spans="1:9" x14ac:dyDescent="0.25">
      <c r="A226" s="8">
        <v>2000</v>
      </c>
      <c r="B226" s="10" t="s">
        <v>892</v>
      </c>
      <c r="C226" s="97" t="s">
        <v>1010</v>
      </c>
      <c r="D226" s="214">
        <v>18995</v>
      </c>
      <c r="E226" s="215">
        <f t="shared" si="3"/>
        <v>5</v>
      </c>
      <c r="F226" s="10">
        <v>0</v>
      </c>
      <c r="G226" s="10">
        <v>1</v>
      </c>
      <c r="H226" s="10">
        <v>0</v>
      </c>
      <c r="I226" s="216">
        <v>0</v>
      </c>
    </row>
    <row r="227" spans="1:9" x14ac:dyDescent="0.25">
      <c r="A227" s="8">
        <v>2001</v>
      </c>
      <c r="B227" s="10" t="s">
        <v>892</v>
      </c>
      <c r="C227" s="97" t="s">
        <v>1011</v>
      </c>
      <c r="D227" s="214">
        <v>23447</v>
      </c>
      <c r="E227" s="215">
        <f t="shared" si="3"/>
        <v>4</v>
      </c>
      <c r="F227" s="10">
        <v>0</v>
      </c>
      <c r="G227" s="10">
        <v>1</v>
      </c>
      <c r="H227" s="10">
        <v>0</v>
      </c>
      <c r="I227" s="216">
        <v>0</v>
      </c>
    </row>
    <row r="228" spans="1:9" x14ac:dyDescent="0.25">
      <c r="A228" s="8">
        <v>2002</v>
      </c>
      <c r="B228" s="10" t="s">
        <v>892</v>
      </c>
      <c r="C228" s="97" t="s">
        <v>1012</v>
      </c>
      <c r="D228" s="214">
        <v>23719</v>
      </c>
      <c r="E228" s="215">
        <f t="shared" si="3"/>
        <v>3</v>
      </c>
      <c r="F228" s="10">
        <v>0</v>
      </c>
      <c r="G228" s="10">
        <v>1</v>
      </c>
      <c r="H228" s="10">
        <v>0</v>
      </c>
      <c r="I228" s="216">
        <v>0</v>
      </c>
    </row>
    <row r="229" spans="1:9" x14ac:dyDescent="0.25">
      <c r="A229" s="8">
        <v>2001</v>
      </c>
      <c r="B229" s="10" t="s">
        <v>892</v>
      </c>
      <c r="C229" s="97" t="s">
        <v>1013</v>
      </c>
      <c r="D229" s="214">
        <v>19995</v>
      </c>
      <c r="E229" s="215">
        <f t="shared" si="3"/>
        <v>4</v>
      </c>
      <c r="F229" s="10">
        <v>0</v>
      </c>
      <c r="G229" s="10">
        <v>1</v>
      </c>
      <c r="H229" s="10">
        <v>0</v>
      </c>
      <c r="I229" s="216">
        <v>0</v>
      </c>
    </row>
    <row r="230" spans="1:9" x14ac:dyDescent="0.25">
      <c r="A230" s="8">
        <v>2002</v>
      </c>
      <c r="B230" s="10" t="s">
        <v>892</v>
      </c>
      <c r="C230" s="97" t="s">
        <v>1013</v>
      </c>
      <c r="D230" s="214">
        <v>23895</v>
      </c>
      <c r="E230" s="215">
        <f t="shared" si="3"/>
        <v>3</v>
      </c>
      <c r="F230" s="10">
        <v>0</v>
      </c>
      <c r="G230" s="10">
        <v>1</v>
      </c>
      <c r="H230" s="10">
        <v>0</v>
      </c>
      <c r="I230" s="216">
        <v>0</v>
      </c>
    </row>
    <row r="231" spans="1:9" x14ac:dyDescent="0.25">
      <c r="A231" s="8">
        <v>2002</v>
      </c>
      <c r="B231" s="10" t="s">
        <v>892</v>
      </c>
      <c r="C231" s="97" t="s">
        <v>1014</v>
      </c>
      <c r="D231" s="214">
        <v>29995</v>
      </c>
      <c r="E231" s="215">
        <f t="shared" si="3"/>
        <v>3</v>
      </c>
      <c r="F231" s="10">
        <v>0</v>
      </c>
      <c r="G231" s="10">
        <v>1</v>
      </c>
      <c r="H231" s="10">
        <v>0</v>
      </c>
      <c r="I231" s="216">
        <v>0</v>
      </c>
    </row>
    <row r="232" spans="1:9" x14ac:dyDescent="0.25">
      <c r="A232" s="8">
        <v>2000</v>
      </c>
      <c r="B232" s="10" t="s">
        <v>892</v>
      </c>
      <c r="C232" s="97" t="s">
        <v>1015</v>
      </c>
      <c r="D232" s="214">
        <v>17995</v>
      </c>
      <c r="E232" s="215">
        <f t="shared" si="3"/>
        <v>5</v>
      </c>
      <c r="F232" s="10">
        <v>0</v>
      </c>
      <c r="G232" s="10">
        <v>1</v>
      </c>
      <c r="H232" s="10">
        <v>0</v>
      </c>
      <c r="I232" s="216">
        <v>0</v>
      </c>
    </row>
    <row r="233" spans="1:9" x14ac:dyDescent="0.25">
      <c r="A233" s="8">
        <v>2002</v>
      </c>
      <c r="B233" s="10" t="s">
        <v>892</v>
      </c>
      <c r="C233" s="97" t="s">
        <v>1016</v>
      </c>
      <c r="D233" s="214">
        <v>29995</v>
      </c>
      <c r="E233" s="215">
        <f t="shared" si="3"/>
        <v>3</v>
      </c>
      <c r="F233" s="10">
        <v>0</v>
      </c>
      <c r="G233" s="10">
        <v>1</v>
      </c>
      <c r="H233" s="10">
        <v>0</v>
      </c>
      <c r="I233" s="216">
        <v>0</v>
      </c>
    </row>
    <row r="234" spans="1:9" x14ac:dyDescent="0.25">
      <c r="A234" s="8">
        <v>2000</v>
      </c>
      <c r="B234" s="10" t="s">
        <v>892</v>
      </c>
      <c r="C234" s="97" t="s">
        <v>1017</v>
      </c>
      <c r="D234" s="214">
        <v>25800</v>
      </c>
      <c r="E234" s="215">
        <f t="shared" si="3"/>
        <v>5</v>
      </c>
      <c r="F234" s="10">
        <v>0</v>
      </c>
      <c r="G234" s="10">
        <v>1</v>
      </c>
      <c r="H234" s="10">
        <v>0</v>
      </c>
      <c r="I234" s="216">
        <v>0</v>
      </c>
    </row>
    <row r="235" spans="1:9" x14ac:dyDescent="0.25">
      <c r="A235" s="8">
        <v>2001</v>
      </c>
      <c r="B235" s="10" t="s">
        <v>892</v>
      </c>
      <c r="C235" s="97" t="s">
        <v>1018</v>
      </c>
      <c r="D235" s="214">
        <v>18495</v>
      </c>
      <c r="E235" s="215">
        <f t="shared" si="3"/>
        <v>4</v>
      </c>
      <c r="F235" s="10">
        <v>0</v>
      </c>
      <c r="G235" s="10">
        <v>1</v>
      </c>
      <c r="H235" s="10">
        <v>0</v>
      </c>
      <c r="I235" s="216">
        <v>0</v>
      </c>
    </row>
    <row r="236" spans="1:9" x14ac:dyDescent="0.25">
      <c r="A236" s="8">
        <v>2003</v>
      </c>
      <c r="B236" s="10" t="s">
        <v>892</v>
      </c>
      <c r="C236" s="97" t="s">
        <v>1019</v>
      </c>
      <c r="D236" s="214">
        <v>14995</v>
      </c>
      <c r="E236" s="215">
        <f t="shared" si="3"/>
        <v>2</v>
      </c>
      <c r="F236" s="10">
        <v>0</v>
      </c>
      <c r="G236" s="10">
        <v>1</v>
      </c>
      <c r="H236" s="10">
        <v>0</v>
      </c>
      <c r="I236" s="216">
        <v>0</v>
      </c>
    </row>
    <row r="237" spans="1:9" x14ac:dyDescent="0.25">
      <c r="A237" s="8">
        <v>2000</v>
      </c>
      <c r="B237" s="10" t="s">
        <v>892</v>
      </c>
      <c r="C237" s="97" t="s">
        <v>1020</v>
      </c>
      <c r="D237" s="214">
        <v>11995</v>
      </c>
      <c r="E237" s="215">
        <f t="shared" si="3"/>
        <v>5</v>
      </c>
      <c r="F237" s="10">
        <v>0</v>
      </c>
      <c r="G237" s="10">
        <v>1</v>
      </c>
      <c r="H237" s="10">
        <v>0</v>
      </c>
      <c r="I237" s="216">
        <v>0</v>
      </c>
    </row>
    <row r="238" spans="1:9" x14ac:dyDescent="0.25">
      <c r="A238" s="8">
        <v>1997</v>
      </c>
      <c r="B238" s="10" t="s">
        <v>892</v>
      </c>
      <c r="C238" s="97" t="s">
        <v>1021</v>
      </c>
      <c r="D238" s="214">
        <v>10995</v>
      </c>
      <c r="E238" s="215">
        <f t="shared" si="3"/>
        <v>8</v>
      </c>
      <c r="F238" s="10">
        <v>0</v>
      </c>
      <c r="G238" s="10">
        <v>1</v>
      </c>
      <c r="H238" s="10">
        <v>0</v>
      </c>
      <c r="I238" s="216">
        <v>0</v>
      </c>
    </row>
    <row r="239" spans="1:9" x14ac:dyDescent="0.25">
      <c r="A239" s="8">
        <v>1999</v>
      </c>
      <c r="B239" s="10" t="s">
        <v>892</v>
      </c>
      <c r="C239" s="97" t="s">
        <v>1022</v>
      </c>
      <c r="D239" s="214">
        <v>9995</v>
      </c>
      <c r="E239" s="215">
        <f t="shared" si="3"/>
        <v>6</v>
      </c>
      <c r="F239" s="10">
        <v>0</v>
      </c>
      <c r="G239" s="10">
        <v>1</v>
      </c>
      <c r="H239" s="10">
        <v>0</v>
      </c>
      <c r="I239" s="216">
        <v>0</v>
      </c>
    </row>
    <row r="240" spans="1:9" x14ac:dyDescent="0.25">
      <c r="A240" s="8">
        <v>2003</v>
      </c>
      <c r="B240" s="10" t="s">
        <v>892</v>
      </c>
      <c r="C240" s="97" t="s">
        <v>1023</v>
      </c>
      <c r="D240" s="214">
        <v>31404</v>
      </c>
      <c r="E240" s="215">
        <f t="shared" si="3"/>
        <v>2</v>
      </c>
      <c r="F240" s="10">
        <v>0</v>
      </c>
      <c r="G240" s="10">
        <v>1</v>
      </c>
      <c r="H240" s="10">
        <v>0</v>
      </c>
      <c r="I240" s="216">
        <v>0</v>
      </c>
    </row>
    <row r="241" spans="1:9" x14ac:dyDescent="0.25">
      <c r="A241" s="8">
        <v>2001</v>
      </c>
      <c r="B241" s="10" t="s">
        <v>892</v>
      </c>
      <c r="C241" s="217" t="s">
        <v>1024</v>
      </c>
      <c r="D241" s="214">
        <v>24995</v>
      </c>
      <c r="E241" s="215">
        <f t="shared" si="3"/>
        <v>4</v>
      </c>
      <c r="F241" s="10">
        <v>0</v>
      </c>
      <c r="G241" s="10">
        <v>1</v>
      </c>
      <c r="H241" s="10">
        <v>0</v>
      </c>
      <c r="I241" s="216">
        <v>0</v>
      </c>
    </row>
    <row r="242" spans="1:9" x14ac:dyDescent="0.25">
      <c r="A242" s="8">
        <v>2003</v>
      </c>
      <c r="B242" s="10" t="s">
        <v>892</v>
      </c>
      <c r="C242" s="97" t="s">
        <v>1025</v>
      </c>
      <c r="D242" s="214">
        <v>27880</v>
      </c>
      <c r="E242" s="215">
        <f t="shared" si="3"/>
        <v>2</v>
      </c>
      <c r="F242" s="10">
        <v>0</v>
      </c>
      <c r="G242" s="10">
        <v>1</v>
      </c>
      <c r="H242" s="10">
        <v>0</v>
      </c>
      <c r="I242" s="216">
        <v>0</v>
      </c>
    </row>
    <row r="243" spans="1:9" x14ac:dyDescent="0.25">
      <c r="A243" s="8">
        <v>1999</v>
      </c>
      <c r="B243" s="10" t="s">
        <v>892</v>
      </c>
      <c r="C243" s="97" t="s">
        <v>1026</v>
      </c>
      <c r="D243" s="214">
        <v>13995</v>
      </c>
      <c r="E243" s="215">
        <f t="shared" si="3"/>
        <v>6</v>
      </c>
      <c r="F243" s="10">
        <v>0</v>
      </c>
      <c r="G243" s="10">
        <v>1</v>
      </c>
      <c r="H243" s="10">
        <v>0</v>
      </c>
      <c r="I243" s="216">
        <v>0</v>
      </c>
    </row>
    <row r="244" spans="1:9" x14ac:dyDescent="0.25">
      <c r="A244" s="8">
        <v>2003</v>
      </c>
      <c r="B244" s="10" t="s">
        <v>892</v>
      </c>
      <c r="C244" s="97" t="s">
        <v>1027</v>
      </c>
      <c r="D244" s="214">
        <v>27995</v>
      </c>
      <c r="E244" s="215">
        <f t="shared" si="3"/>
        <v>2</v>
      </c>
      <c r="F244" s="10">
        <v>0</v>
      </c>
      <c r="G244" s="10">
        <v>1</v>
      </c>
      <c r="H244" s="10">
        <v>0</v>
      </c>
      <c r="I244" s="216">
        <v>0</v>
      </c>
    </row>
    <row r="245" spans="1:9" x14ac:dyDescent="0.25">
      <c r="A245" s="8">
        <v>2003</v>
      </c>
      <c r="B245" s="10" t="s">
        <v>892</v>
      </c>
      <c r="C245" s="97" t="s">
        <v>1028</v>
      </c>
      <c r="D245" s="214">
        <v>29580</v>
      </c>
      <c r="E245" s="215">
        <f t="shared" si="3"/>
        <v>2</v>
      </c>
      <c r="F245" s="10">
        <v>0</v>
      </c>
      <c r="G245" s="10">
        <v>1</v>
      </c>
      <c r="H245" s="10">
        <v>0</v>
      </c>
      <c r="I245" s="216">
        <v>0</v>
      </c>
    </row>
    <row r="246" spans="1:9" x14ac:dyDescent="0.25">
      <c r="A246" s="8">
        <v>2003</v>
      </c>
      <c r="B246" s="10" t="s">
        <v>892</v>
      </c>
      <c r="C246" s="97" t="s">
        <v>1029</v>
      </c>
      <c r="D246" s="214">
        <v>35892</v>
      </c>
      <c r="E246" s="215">
        <f t="shared" si="3"/>
        <v>2</v>
      </c>
      <c r="F246" s="10">
        <v>0</v>
      </c>
      <c r="G246" s="10">
        <v>1</v>
      </c>
      <c r="H246" s="10">
        <v>0</v>
      </c>
      <c r="I246" s="216">
        <v>0</v>
      </c>
    </row>
    <row r="247" spans="1:9" x14ac:dyDescent="0.25">
      <c r="A247" s="8">
        <v>2003</v>
      </c>
      <c r="B247" s="10" t="s">
        <v>892</v>
      </c>
      <c r="C247" s="97" t="s">
        <v>1030</v>
      </c>
      <c r="D247" s="214">
        <v>36942</v>
      </c>
      <c r="E247" s="215">
        <f t="shared" si="3"/>
        <v>2</v>
      </c>
      <c r="F247" s="10">
        <v>0</v>
      </c>
      <c r="G247" s="10">
        <v>1</v>
      </c>
      <c r="H247" s="10">
        <v>0</v>
      </c>
      <c r="I247" s="216">
        <v>0</v>
      </c>
    </row>
    <row r="248" spans="1:9" x14ac:dyDescent="0.25">
      <c r="A248" s="8">
        <v>2002</v>
      </c>
      <c r="B248" s="10" t="s">
        <v>892</v>
      </c>
      <c r="C248" s="97" t="s">
        <v>1031</v>
      </c>
      <c r="D248" s="214">
        <v>20387</v>
      </c>
      <c r="E248" s="215">
        <f t="shared" si="3"/>
        <v>3</v>
      </c>
      <c r="F248" s="10">
        <v>0</v>
      </c>
      <c r="G248" s="10">
        <v>1</v>
      </c>
      <c r="H248" s="10">
        <v>0</v>
      </c>
      <c r="I248" s="216">
        <v>0</v>
      </c>
    </row>
    <row r="249" spans="1:9" x14ac:dyDescent="0.25">
      <c r="A249" s="8">
        <v>2001</v>
      </c>
      <c r="B249" s="10" t="s">
        <v>892</v>
      </c>
      <c r="C249" s="97" t="s">
        <v>1032</v>
      </c>
      <c r="D249" s="214">
        <v>16995</v>
      </c>
      <c r="E249" s="215">
        <f t="shared" si="3"/>
        <v>4</v>
      </c>
      <c r="F249" s="10">
        <v>0</v>
      </c>
      <c r="G249" s="10">
        <v>1</v>
      </c>
      <c r="H249" s="10">
        <v>0</v>
      </c>
      <c r="I249" s="216">
        <v>0</v>
      </c>
    </row>
    <row r="250" spans="1:9" x14ac:dyDescent="0.25">
      <c r="A250" s="8">
        <v>2002</v>
      </c>
      <c r="B250" s="10" t="s">
        <v>892</v>
      </c>
      <c r="C250" s="97" t="s">
        <v>1033</v>
      </c>
      <c r="D250" s="214">
        <v>7595</v>
      </c>
      <c r="E250" s="215">
        <f t="shared" si="3"/>
        <v>3</v>
      </c>
      <c r="F250" s="10">
        <v>1</v>
      </c>
      <c r="G250" s="10">
        <v>0</v>
      </c>
      <c r="H250" s="10">
        <v>0</v>
      </c>
      <c r="I250" s="216">
        <v>0</v>
      </c>
    </row>
    <row r="251" spans="1:9" x14ac:dyDescent="0.25">
      <c r="A251" s="8">
        <v>2001</v>
      </c>
      <c r="B251" s="10" t="s">
        <v>892</v>
      </c>
      <c r="C251" s="97" t="s">
        <v>1034</v>
      </c>
      <c r="D251" s="214">
        <v>8750</v>
      </c>
      <c r="E251" s="215">
        <f t="shared" si="3"/>
        <v>4</v>
      </c>
      <c r="F251" s="10">
        <v>1</v>
      </c>
      <c r="G251" s="10">
        <v>0</v>
      </c>
      <c r="H251" s="10">
        <v>0</v>
      </c>
      <c r="I251" s="216">
        <v>0</v>
      </c>
    </row>
    <row r="252" spans="1:9" x14ac:dyDescent="0.25">
      <c r="A252" s="8">
        <v>2000</v>
      </c>
      <c r="B252" s="10" t="s">
        <v>892</v>
      </c>
      <c r="C252" s="97" t="s">
        <v>1034</v>
      </c>
      <c r="D252" s="214">
        <v>6990</v>
      </c>
      <c r="E252" s="215">
        <f t="shared" si="3"/>
        <v>5</v>
      </c>
      <c r="F252" s="10">
        <v>1</v>
      </c>
      <c r="G252" s="10">
        <v>0</v>
      </c>
      <c r="H252" s="10">
        <v>0</v>
      </c>
      <c r="I252" s="216">
        <v>0</v>
      </c>
    </row>
    <row r="253" spans="1:9" x14ac:dyDescent="0.25">
      <c r="A253" s="8">
        <v>2003</v>
      </c>
      <c r="B253" s="10" t="s">
        <v>892</v>
      </c>
      <c r="C253" s="97" t="s">
        <v>1034</v>
      </c>
      <c r="D253" s="214">
        <v>10873</v>
      </c>
      <c r="E253" s="215">
        <f t="shared" si="3"/>
        <v>2</v>
      </c>
      <c r="F253" s="10">
        <v>1</v>
      </c>
      <c r="G253" s="10">
        <v>0</v>
      </c>
      <c r="H253" s="10">
        <v>0</v>
      </c>
      <c r="I253" s="216">
        <v>0</v>
      </c>
    </row>
    <row r="254" spans="1:9" x14ac:dyDescent="0.25">
      <c r="A254" s="8">
        <v>2002</v>
      </c>
      <c r="B254" s="10" t="s">
        <v>892</v>
      </c>
      <c r="C254" s="97" t="s">
        <v>1034</v>
      </c>
      <c r="D254" s="214">
        <v>8695</v>
      </c>
      <c r="E254" s="215">
        <f t="shared" si="3"/>
        <v>3</v>
      </c>
      <c r="F254" s="10">
        <v>1</v>
      </c>
      <c r="G254" s="10">
        <v>0</v>
      </c>
      <c r="H254" s="10">
        <v>0</v>
      </c>
      <c r="I254" s="216">
        <v>0</v>
      </c>
    </row>
    <row r="255" spans="1:9" x14ac:dyDescent="0.25">
      <c r="A255" s="8">
        <v>2002</v>
      </c>
      <c r="B255" s="10" t="s">
        <v>892</v>
      </c>
      <c r="C255" s="97" t="s">
        <v>1034</v>
      </c>
      <c r="D255" s="214">
        <v>9995</v>
      </c>
      <c r="E255" s="215">
        <f t="shared" si="3"/>
        <v>3</v>
      </c>
      <c r="F255" s="10">
        <v>1</v>
      </c>
      <c r="G255" s="10">
        <v>0</v>
      </c>
      <c r="H255" s="10">
        <v>0</v>
      </c>
      <c r="I255" s="216">
        <v>0</v>
      </c>
    </row>
    <row r="256" spans="1:9" x14ac:dyDescent="0.25">
      <c r="A256" s="8">
        <v>2000</v>
      </c>
      <c r="B256" s="10" t="s">
        <v>892</v>
      </c>
      <c r="C256" s="97" t="s">
        <v>1034</v>
      </c>
      <c r="D256" s="214">
        <v>4788</v>
      </c>
      <c r="E256" s="215">
        <f t="shared" si="3"/>
        <v>5</v>
      </c>
      <c r="F256" s="10">
        <v>1</v>
      </c>
      <c r="G256" s="10">
        <v>0</v>
      </c>
      <c r="H256" s="10">
        <v>0</v>
      </c>
      <c r="I256" s="216">
        <v>0</v>
      </c>
    </row>
    <row r="257" spans="1:9" x14ac:dyDescent="0.25">
      <c r="A257" s="8">
        <v>2003</v>
      </c>
      <c r="B257" s="10" t="s">
        <v>892</v>
      </c>
      <c r="C257" s="97" t="s">
        <v>1034</v>
      </c>
      <c r="D257" s="214">
        <v>9995</v>
      </c>
      <c r="E257" s="215">
        <f t="shared" si="3"/>
        <v>2</v>
      </c>
      <c r="F257" s="10">
        <v>1</v>
      </c>
      <c r="G257" s="10">
        <v>0</v>
      </c>
      <c r="H257" s="10">
        <v>0</v>
      </c>
      <c r="I257" s="216">
        <v>0</v>
      </c>
    </row>
    <row r="258" spans="1:9" x14ac:dyDescent="0.25">
      <c r="A258" s="8">
        <v>2003</v>
      </c>
      <c r="B258" s="10" t="s">
        <v>892</v>
      </c>
      <c r="C258" s="97" t="s">
        <v>1035</v>
      </c>
      <c r="D258" s="214">
        <v>10995</v>
      </c>
      <c r="E258" s="215">
        <f t="shared" ref="E258:E321" si="4">2005-A258</f>
        <v>2</v>
      </c>
      <c r="F258" s="10">
        <v>1</v>
      </c>
      <c r="G258" s="10">
        <v>0</v>
      </c>
      <c r="H258" s="10">
        <v>0</v>
      </c>
      <c r="I258" s="216">
        <v>0</v>
      </c>
    </row>
    <row r="259" spans="1:9" x14ac:dyDescent="0.25">
      <c r="A259" s="8">
        <v>2003</v>
      </c>
      <c r="B259" s="10" t="s">
        <v>892</v>
      </c>
      <c r="C259" s="97" t="s">
        <v>1036</v>
      </c>
      <c r="D259" s="214">
        <v>11995</v>
      </c>
      <c r="E259" s="215">
        <f t="shared" si="4"/>
        <v>2</v>
      </c>
      <c r="F259" s="10">
        <v>1</v>
      </c>
      <c r="G259" s="10">
        <v>0</v>
      </c>
      <c r="H259" s="10">
        <v>0</v>
      </c>
      <c r="I259" s="216">
        <v>0</v>
      </c>
    </row>
    <row r="260" spans="1:9" x14ac:dyDescent="0.25">
      <c r="A260" s="8">
        <v>2000</v>
      </c>
      <c r="B260" s="10" t="s">
        <v>892</v>
      </c>
      <c r="C260" s="97" t="s">
        <v>1037</v>
      </c>
      <c r="D260" s="214">
        <v>6995</v>
      </c>
      <c r="E260" s="215">
        <f t="shared" si="4"/>
        <v>5</v>
      </c>
      <c r="F260" s="10">
        <v>1</v>
      </c>
      <c r="G260" s="10">
        <v>0</v>
      </c>
      <c r="H260" s="10">
        <v>0</v>
      </c>
      <c r="I260" s="216">
        <v>0</v>
      </c>
    </row>
    <row r="261" spans="1:9" x14ac:dyDescent="0.25">
      <c r="A261" s="8">
        <v>2003</v>
      </c>
      <c r="B261" s="10" t="s">
        <v>892</v>
      </c>
      <c r="C261" s="97" t="s">
        <v>1037</v>
      </c>
      <c r="D261" s="214">
        <v>11391</v>
      </c>
      <c r="E261" s="215">
        <f t="shared" si="4"/>
        <v>2</v>
      </c>
      <c r="F261" s="10">
        <v>1</v>
      </c>
      <c r="G261" s="10">
        <v>0</v>
      </c>
      <c r="H261" s="10">
        <v>0</v>
      </c>
      <c r="I261" s="216">
        <v>0</v>
      </c>
    </row>
    <row r="262" spans="1:9" x14ac:dyDescent="0.25">
      <c r="A262" s="8">
        <v>2003</v>
      </c>
      <c r="B262" s="10" t="s">
        <v>892</v>
      </c>
      <c r="C262" s="97" t="s">
        <v>1038</v>
      </c>
      <c r="D262" s="214">
        <v>13495</v>
      </c>
      <c r="E262" s="215">
        <f t="shared" si="4"/>
        <v>2</v>
      </c>
      <c r="F262" s="10">
        <v>1</v>
      </c>
      <c r="G262" s="10">
        <v>0</v>
      </c>
      <c r="H262" s="10">
        <v>0</v>
      </c>
      <c r="I262" s="216">
        <v>0</v>
      </c>
    </row>
    <row r="263" spans="1:9" x14ac:dyDescent="0.25">
      <c r="A263" s="8">
        <v>2001</v>
      </c>
      <c r="B263" s="10" t="s">
        <v>892</v>
      </c>
      <c r="C263" s="97" t="s">
        <v>1039</v>
      </c>
      <c r="D263" s="214">
        <v>8995</v>
      </c>
      <c r="E263" s="215">
        <f t="shared" si="4"/>
        <v>4</v>
      </c>
      <c r="F263" s="10">
        <v>1</v>
      </c>
      <c r="G263" s="10">
        <v>0</v>
      </c>
      <c r="H263" s="10">
        <v>0</v>
      </c>
      <c r="I263" s="216">
        <v>0</v>
      </c>
    </row>
    <row r="264" spans="1:9" x14ac:dyDescent="0.25">
      <c r="A264" s="8">
        <v>2000</v>
      </c>
      <c r="B264" s="10" t="s">
        <v>892</v>
      </c>
      <c r="C264" s="97" t="s">
        <v>1040</v>
      </c>
      <c r="D264" s="214">
        <v>9995</v>
      </c>
      <c r="E264" s="215">
        <f t="shared" si="4"/>
        <v>5</v>
      </c>
      <c r="F264" s="10">
        <v>1</v>
      </c>
      <c r="G264" s="10">
        <v>0</v>
      </c>
      <c r="H264" s="10">
        <v>0</v>
      </c>
      <c r="I264" s="216">
        <v>0</v>
      </c>
    </row>
    <row r="265" spans="1:9" x14ac:dyDescent="0.25">
      <c r="A265" s="8">
        <v>2002</v>
      </c>
      <c r="B265" s="10" t="s">
        <v>892</v>
      </c>
      <c r="C265" s="97" t="s">
        <v>1040</v>
      </c>
      <c r="D265" s="214">
        <v>10995</v>
      </c>
      <c r="E265" s="215">
        <f t="shared" si="4"/>
        <v>3</v>
      </c>
      <c r="F265" s="10">
        <v>1</v>
      </c>
      <c r="G265" s="10">
        <v>0</v>
      </c>
      <c r="H265" s="10">
        <v>0</v>
      </c>
      <c r="I265" s="216">
        <v>0</v>
      </c>
    </row>
    <row r="266" spans="1:9" x14ac:dyDescent="0.25">
      <c r="A266" s="8">
        <v>2001</v>
      </c>
      <c r="B266" s="10" t="s">
        <v>892</v>
      </c>
      <c r="C266" s="97" t="s">
        <v>1041</v>
      </c>
      <c r="D266" s="214">
        <v>8995</v>
      </c>
      <c r="E266" s="215">
        <f t="shared" si="4"/>
        <v>4</v>
      </c>
      <c r="F266" s="10">
        <v>1</v>
      </c>
      <c r="G266" s="10">
        <v>0</v>
      </c>
      <c r="H266" s="10">
        <v>0</v>
      </c>
      <c r="I266" s="216">
        <v>0</v>
      </c>
    </row>
    <row r="267" spans="1:9" x14ac:dyDescent="0.25">
      <c r="A267" s="8">
        <v>2001</v>
      </c>
      <c r="B267" s="10" t="s">
        <v>892</v>
      </c>
      <c r="C267" s="97" t="s">
        <v>1041</v>
      </c>
      <c r="D267" s="214">
        <v>9995</v>
      </c>
      <c r="E267" s="215">
        <f t="shared" si="4"/>
        <v>4</v>
      </c>
      <c r="F267" s="10">
        <v>1</v>
      </c>
      <c r="G267" s="10">
        <v>0</v>
      </c>
      <c r="H267" s="10">
        <v>0</v>
      </c>
      <c r="I267" s="216">
        <v>0</v>
      </c>
    </row>
    <row r="268" spans="1:9" x14ac:dyDescent="0.25">
      <c r="A268" s="8">
        <v>2002</v>
      </c>
      <c r="B268" s="10" t="s">
        <v>892</v>
      </c>
      <c r="C268" s="97" t="s">
        <v>1041</v>
      </c>
      <c r="D268" s="214">
        <v>8900</v>
      </c>
      <c r="E268" s="215">
        <f t="shared" si="4"/>
        <v>3</v>
      </c>
      <c r="F268" s="10">
        <v>1</v>
      </c>
      <c r="G268" s="10">
        <v>0</v>
      </c>
      <c r="H268" s="10">
        <v>0</v>
      </c>
      <c r="I268" s="216">
        <v>0</v>
      </c>
    </row>
    <row r="269" spans="1:9" x14ac:dyDescent="0.25">
      <c r="A269" s="8">
        <v>2003</v>
      </c>
      <c r="B269" s="10" t="s">
        <v>892</v>
      </c>
      <c r="C269" s="97" t="s">
        <v>1041</v>
      </c>
      <c r="D269" s="214">
        <v>9351</v>
      </c>
      <c r="E269" s="215">
        <f t="shared" si="4"/>
        <v>2</v>
      </c>
      <c r="F269" s="10">
        <v>1</v>
      </c>
      <c r="G269" s="10">
        <v>0</v>
      </c>
      <c r="H269" s="10">
        <v>0</v>
      </c>
      <c r="I269" s="216">
        <v>0</v>
      </c>
    </row>
    <row r="270" spans="1:9" x14ac:dyDescent="0.25">
      <c r="A270" s="8">
        <v>2002</v>
      </c>
      <c r="B270" s="10" t="s">
        <v>892</v>
      </c>
      <c r="C270" s="97" t="s">
        <v>1042</v>
      </c>
      <c r="D270" s="214">
        <v>8995</v>
      </c>
      <c r="E270" s="215">
        <f t="shared" si="4"/>
        <v>3</v>
      </c>
      <c r="F270" s="10">
        <v>1</v>
      </c>
      <c r="G270" s="10">
        <v>0</v>
      </c>
      <c r="H270" s="10">
        <v>0</v>
      </c>
      <c r="I270" s="216">
        <v>0</v>
      </c>
    </row>
    <row r="271" spans="1:9" x14ac:dyDescent="0.25">
      <c r="A271" s="8">
        <v>1998</v>
      </c>
      <c r="B271" s="10" t="s">
        <v>892</v>
      </c>
      <c r="C271" s="97" t="s">
        <v>1043</v>
      </c>
      <c r="D271" s="214">
        <v>12999</v>
      </c>
      <c r="E271" s="215">
        <f t="shared" si="4"/>
        <v>7</v>
      </c>
      <c r="F271" s="10">
        <v>0</v>
      </c>
      <c r="G271" s="10">
        <v>0</v>
      </c>
      <c r="H271" s="10">
        <v>0</v>
      </c>
      <c r="I271" s="216">
        <v>1</v>
      </c>
    </row>
    <row r="272" spans="1:9" x14ac:dyDescent="0.25">
      <c r="A272" s="8">
        <v>2004</v>
      </c>
      <c r="B272" s="10" t="s">
        <v>892</v>
      </c>
      <c r="C272" s="97" t="s">
        <v>1044</v>
      </c>
      <c r="D272" s="214">
        <v>18283</v>
      </c>
      <c r="E272" s="215">
        <f t="shared" si="4"/>
        <v>1</v>
      </c>
      <c r="F272" s="10">
        <v>0</v>
      </c>
      <c r="G272" s="10">
        <v>0</v>
      </c>
      <c r="H272" s="10">
        <v>0</v>
      </c>
      <c r="I272" s="216">
        <v>1</v>
      </c>
    </row>
    <row r="273" spans="1:9" x14ac:dyDescent="0.25">
      <c r="A273" s="8">
        <v>2000</v>
      </c>
      <c r="B273" s="10" t="s">
        <v>889</v>
      </c>
      <c r="C273" s="97" t="s">
        <v>1045</v>
      </c>
      <c r="D273" s="214">
        <v>8753</v>
      </c>
      <c r="E273" s="215">
        <f t="shared" si="4"/>
        <v>5</v>
      </c>
      <c r="F273" s="10">
        <v>0</v>
      </c>
      <c r="G273" s="10">
        <v>0</v>
      </c>
      <c r="H273" s="10">
        <v>0</v>
      </c>
      <c r="I273" s="216">
        <v>1</v>
      </c>
    </row>
    <row r="274" spans="1:9" x14ac:dyDescent="0.25">
      <c r="A274" s="8">
        <v>2002</v>
      </c>
      <c r="B274" s="10" t="s">
        <v>828</v>
      </c>
      <c r="C274" s="97" t="s">
        <v>1046</v>
      </c>
      <c r="D274" s="214">
        <v>9295</v>
      </c>
      <c r="E274" s="215">
        <f t="shared" si="4"/>
        <v>3</v>
      </c>
      <c r="F274" s="10">
        <v>1</v>
      </c>
      <c r="G274" s="10">
        <v>0</v>
      </c>
      <c r="H274" s="10">
        <v>0</v>
      </c>
      <c r="I274" s="216">
        <v>0</v>
      </c>
    </row>
    <row r="275" spans="1:9" x14ac:dyDescent="0.25">
      <c r="A275" s="8">
        <v>2004</v>
      </c>
      <c r="B275" s="10" t="s">
        <v>828</v>
      </c>
      <c r="C275" s="97" t="s">
        <v>1046</v>
      </c>
      <c r="D275" s="214">
        <v>12988</v>
      </c>
      <c r="E275" s="215">
        <f t="shared" si="4"/>
        <v>1</v>
      </c>
      <c r="F275" s="10">
        <v>1</v>
      </c>
      <c r="G275" s="10">
        <v>0</v>
      </c>
      <c r="H275" s="10">
        <v>0</v>
      </c>
      <c r="I275" s="216">
        <v>0</v>
      </c>
    </row>
    <row r="276" spans="1:9" x14ac:dyDescent="0.25">
      <c r="A276" s="8">
        <v>2002</v>
      </c>
      <c r="B276" s="10" t="s">
        <v>828</v>
      </c>
      <c r="C276" s="97" t="s">
        <v>1046</v>
      </c>
      <c r="D276" s="214">
        <v>12995</v>
      </c>
      <c r="E276" s="215">
        <f t="shared" si="4"/>
        <v>3</v>
      </c>
      <c r="F276" s="10">
        <v>1</v>
      </c>
      <c r="G276" s="10">
        <v>0</v>
      </c>
      <c r="H276" s="10">
        <v>0</v>
      </c>
      <c r="I276" s="216">
        <v>0</v>
      </c>
    </row>
    <row r="277" spans="1:9" x14ac:dyDescent="0.25">
      <c r="A277" s="8">
        <v>2004</v>
      </c>
      <c r="B277" s="10" t="s">
        <v>828</v>
      </c>
      <c r="C277" s="97" t="s">
        <v>1046</v>
      </c>
      <c r="D277" s="214">
        <v>13988</v>
      </c>
      <c r="E277" s="215">
        <f t="shared" si="4"/>
        <v>1</v>
      </c>
      <c r="F277" s="10">
        <v>1</v>
      </c>
      <c r="G277" s="10">
        <v>0</v>
      </c>
      <c r="H277" s="10">
        <v>0</v>
      </c>
      <c r="I277" s="216">
        <v>0</v>
      </c>
    </row>
    <row r="278" spans="1:9" x14ac:dyDescent="0.25">
      <c r="A278" s="8">
        <v>2003</v>
      </c>
      <c r="B278" s="10" t="s">
        <v>828</v>
      </c>
      <c r="C278" s="97" t="s">
        <v>1047</v>
      </c>
      <c r="D278" s="214">
        <v>11495</v>
      </c>
      <c r="E278" s="215">
        <f t="shared" si="4"/>
        <v>2</v>
      </c>
      <c r="F278" s="10">
        <v>1</v>
      </c>
      <c r="G278" s="10">
        <v>0</v>
      </c>
      <c r="H278" s="10">
        <v>0</v>
      </c>
      <c r="I278" s="216">
        <v>0</v>
      </c>
    </row>
    <row r="279" spans="1:9" x14ac:dyDescent="0.25">
      <c r="A279" s="8">
        <v>2002</v>
      </c>
      <c r="B279" s="10" t="s">
        <v>828</v>
      </c>
      <c r="C279" s="97" t="s">
        <v>1048</v>
      </c>
      <c r="D279" s="214">
        <v>10900</v>
      </c>
      <c r="E279" s="215">
        <f t="shared" si="4"/>
        <v>3</v>
      </c>
      <c r="F279" s="10">
        <v>1</v>
      </c>
      <c r="G279" s="10">
        <v>0</v>
      </c>
      <c r="H279" s="10">
        <v>0</v>
      </c>
      <c r="I279" s="216">
        <v>0</v>
      </c>
    </row>
    <row r="280" spans="1:9" x14ac:dyDescent="0.25">
      <c r="A280" s="8">
        <v>2004</v>
      </c>
      <c r="B280" s="10" t="s">
        <v>828</v>
      </c>
      <c r="C280" s="97" t="s">
        <v>1048</v>
      </c>
      <c r="D280" s="214">
        <v>12995</v>
      </c>
      <c r="E280" s="215">
        <f t="shared" si="4"/>
        <v>1</v>
      </c>
      <c r="F280" s="10">
        <v>1</v>
      </c>
      <c r="G280" s="10">
        <v>0</v>
      </c>
      <c r="H280" s="10">
        <v>0</v>
      </c>
      <c r="I280" s="216">
        <v>0</v>
      </c>
    </row>
    <row r="281" spans="1:9" x14ac:dyDescent="0.25">
      <c r="A281" s="8">
        <v>2002</v>
      </c>
      <c r="B281" s="10" t="s">
        <v>828</v>
      </c>
      <c r="C281" s="97" t="s">
        <v>1049</v>
      </c>
      <c r="D281" s="214">
        <v>12999</v>
      </c>
      <c r="E281" s="215">
        <f t="shared" si="4"/>
        <v>3</v>
      </c>
      <c r="F281" s="10">
        <v>1</v>
      </c>
      <c r="G281" s="10">
        <v>0</v>
      </c>
      <c r="H281" s="10">
        <v>0</v>
      </c>
      <c r="I281" s="216">
        <v>0</v>
      </c>
    </row>
    <row r="282" spans="1:9" x14ac:dyDescent="0.25">
      <c r="A282" s="8">
        <v>2002</v>
      </c>
      <c r="B282" s="10" t="s">
        <v>828</v>
      </c>
      <c r="C282" s="97" t="s">
        <v>1049</v>
      </c>
      <c r="D282" s="214">
        <v>14995</v>
      </c>
      <c r="E282" s="215">
        <f t="shared" si="4"/>
        <v>3</v>
      </c>
      <c r="F282" s="10">
        <v>1</v>
      </c>
      <c r="G282" s="10">
        <v>0</v>
      </c>
      <c r="H282" s="10">
        <v>0</v>
      </c>
      <c r="I282" s="216">
        <v>0</v>
      </c>
    </row>
    <row r="283" spans="1:9" x14ac:dyDescent="0.25">
      <c r="A283" s="8">
        <v>2002</v>
      </c>
      <c r="B283" s="10" t="s">
        <v>828</v>
      </c>
      <c r="C283" s="97" t="s">
        <v>1050</v>
      </c>
      <c r="D283" s="214">
        <v>14995</v>
      </c>
      <c r="E283" s="215">
        <f t="shared" si="4"/>
        <v>3</v>
      </c>
      <c r="F283" s="10">
        <v>1</v>
      </c>
      <c r="G283" s="10">
        <v>0</v>
      </c>
      <c r="H283" s="10">
        <v>0</v>
      </c>
      <c r="I283" s="216">
        <v>0</v>
      </c>
    </row>
    <row r="284" spans="1:9" x14ac:dyDescent="0.25">
      <c r="A284" s="8">
        <v>2001</v>
      </c>
      <c r="B284" s="10" t="s">
        <v>828</v>
      </c>
      <c r="C284" s="97" t="s">
        <v>1050</v>
      </c>
      <c r="D284" s="214">
        <v>11995</v>
      </c>
      <c r="E284" s="215">
        <f t="shared" si="4"/>
        <v>4</v>
      </c>
      <c r="F284" s="10">
        <v>1</v>
      </c>
      <c r="G284" s="10">
        <v>0</v>
      </c>
      <c r="H284" s="10">
        <v>0</v>
      </c>
      <c r="I284" s="216">
        <v>0</v>
      </c>
    </row>
    <row r="285" spans="1:9" x14ac:dyDescent="0.25">
      <c r="A285" s="8">
        <v>2004</v>
      </c>
      <c r="B285" s="10" t="s">
        <v>828</v>
      </c>
      <c r="C285" s="97" t="s">
        <v>1051</v>
      </c>
      <c r="D285" s="214">
        <v>18900</v>
      </c>
      <c r="E285" s="215">
        <f t="shared" si="4"/>
        <v>1</v>
      </c>
      <c r="F285" s="10">
        <v>1</v>
      </c>
      <c r="G285" s="10">
        <v>0</v>
      </c>
      <c r="H285" s="10">
        <v>0</v>
      </c>
      <c r="I285" s="216">
        <v>0</v>
      </c>
    </row>
    <row r="286" spans="1:9" x14ac:dyDescent="0.25">
      <c r="A286" s="8">
        <v>2001</v>
      </c>
      <c r="B286" s="10" t="s">
        <v>828</v>
      </c>
      <c r="C286" s="97" t="s">
        <v>1052</v>
      </c>
      <c r="D286" s="214">
        <v>8998</v>
      </c>
      <c r="E286" s="215">
        <f t="shared" si="4"/>
        <v>4</v>
      </c>
      <c r="F286" s="10">
        <v>1</v>
      </c>
      <c r="G286" s="10">
        <v>0</v>
      </c>
      <c r="H286" s="10">
        <v>0</v>
      </c>
      <c r="I286" s="216">
        <v>0</v>
      </c>
    </row>
    <row r="287" spans="1:9" x14ac:dyDescent="0.25">
      <c r="A287" s="8">
        <v>1995</v>
      </c>
      <c r="B287" s="10" t="s">
        <v>828</v>
      </c>
      <c r="C287" s="97" t="s">
        <v>1052</v>
      </c>
      <c r="D287" s="214">
        <v>11857</v>
      </c>
      <c r="E287" s="215">
        <f t="shared" si="4"/>
        <v>10</v>
      </c>
      <c r="F287" s="10">
        <v>1</v>
      </c>
      <c r="G287" s="10">
        <v>0</v>
      </c>
      <c r="H287" s="10">
        <v>0</v>
      </c>
      <c r="I287" s="216">
        <v>0</v>
      </c>
    </row>
    <row r="288" spans="1:9" x14ac:dyDescent="0.25">
      <c r="A288" s="8">
        <v>1996</v>
      </c>
      <c r="B288" s="10" t="s">
        <v>828</v>
      </c>
      <c r="C288" s="97" t="s">
        <v>1053</v>
      </c>
      <c r="D288" s="214">
        <v>13995</v>
      </c>
      <c r="E288" s="215">
        <f t="shared" si="4"/>
        <v>9</v>
      </c>
      <c r="F288" s="10">
        <v>1</v>
      </c>
      <c r="G288" s="10">
        <v>0</v>
      </c>
      <c r="H288" s="10">
        <v>0</v>
      </c>
      <c r="I288" s="216">
        <v>0</v>
      </c>
    </row>
    <row r="289" spans="1:9" x14ac:dyDescent="0.25">
      <c r="A289" s="8">
        <v>2004</v>
      </c>
      <c r="B289" s="10" t="s">
        <v>828</v>
      </c>
      <c r="C289" s="97" t="s">
        <v>1054</v>
      </c>
      <c r="D289" s="214">
        <v>12995</v>
      </c>
      <c r="E289" s="215">
        <f t="shared" si="4"/>
        <v>1</v>
      </c>
      <c r="F289" s="10">
        <v>1</v>
      </c>
      <c r="G289" s="10">
        <v>0</v>
      </c>
      <c r="H289" s="10">
        <v>0</v>
      </c>
      <c r="I289" s="216">
        <v>0</v>
      </c>
    </row>
    <row r="290" spans="1:9" x14ac:dyDescent="0.25">
      <c r="A290" s="8">
        <v>2003</v>
      </c>
      <c r="B290" s="10" t="s">
        <v>828</v>
      </c>
      <c r="C290" s="97" t="s">
        <v>1054</v>
      </c>
      <c r="D290" s="214">
        <v>13972</v>
      </c>
      <c r="E290" s="215">
        <f t="shared" si="4"/>
        <v>2</v>
      </c>
      <c r="F290" s="10">
        <v>1</v>
      </c>
      <c r="G290" s="10">
        <v>0</v>
      </c>
      <c r="H290" s="10">
        <v>0</v>
      </c>
      <c r="I290" s="216">
        <v>0</v>
      </c>
    </row>
    <row r="291" spans="1:9" x14ac:dyDescent="0.25">
      <c r="A291" s="8">
        <v>2003</v>
      </c>
      <c r="B291" s="10" t="s">
        <v>828</v>
      </c>
      <c r="C291" s="97" t="s">
        <v>1054</v>
      </c>
      <c r="D291" s="214">
        <v>12980</v>
      </c>
      <c r="E291" s="215">
        <f t="shared" si="4"/>
        <v>2</v>
      </c>
      <c r="F291" s="10">
        <v>1</v>
      </c>
      <c r="G291" s="10">
        <v>0</v>
      </c>
      <c r="H291" s="10">
        <v>0</v>
      </c>
      <c r="I291" s="216">
        <v>0</v>
      </c>
    </row>
    <row r="292" spans="1:9" x14ac:dyDescent="0.25">
      <c r="A292" s="8">
        <v>2001</v>
      </c>
      <c r="B292" s="10" t="s">
        <v>828</v>
      </c>
      <c r="C292" s="97" t="s">
        <v>1055</v>
      </c>
      <c r="D292" s="214">
        <v>8776</v>
      </c>
      <c r="E292" s="215">
        <f t="shared" si="4"/>
        <v>4</v>
      </c>
      <c r="F292" s="10">
        <v>1</v>
      </c>
      <c r="G292" s="10">
        <v>0</v>
      </c>
      <c r="H292" s="10">
        <v>0</v>
      </c>
      <c r="I292" s="216">
        <v>0</v>
      </c>
    </row>
    <row r="293" spans="1:9" x14ac:dyDescent="0.25">
      <c r="A293" s="8">
        <v>2003</v>
      </c>
      <c r="B293" s="10" t="s">
        <v>828</v>
      </c>
      <c r="C293" s="97" t="s">
        <v>1056</v>
      </c>
      <c r="D293" s="214">
        <v>15495</v>
      </c>
      <c r="E293" s="215">
        <f t="shared" si="4"/>
        <v>2</v>
      </c>
      <c r="F293" s="10">
        <v>1</v>
      </c>
      <c r="G293" s="10">
        <v>0</v>
      </c>
      <c r="H293" s="10">
        <v>0</v>
      </c>
      <c r="I293" s="216">
        <v>0</v>
      </c>
    </row>
    <row r="294" spans="1:9" x14ac:dyDescent="0.25">
      <c r="A294" s="8">
        <v>2003</v>
      </c>
      <c r="B294" s="10" t="s">
        <v>828</v>
      </c>
      <c r="C294" s="97" t="s">
        <v>1057</v>
      </c>
      <c r="D294" s="214">
        <v>11495</v>
      </c>
      <c r="E294" s="215">
        <f t="shared" si="4"/>
        <v>2</v>
      </c>
      <c r="F294" s="10">
        <v>1</v>
      </c>
      <c r="G294" s="10">
        <v>0</v>
      </c>
      <c r="H294" s="10">
        <v>0</v>
      </c>
      <c r="I294" s="216">
        <v>0</v>
      </c>
    </row>
    <row r="295" spans="1:9" x14ac:dyDescent="0.25">
      <c r="A295" s="8">
        <v>2002</v>
      </c>
      <c r="B295" s="10" t="s">
        <v>828</v>
      </c>
      <c r="C295" s="97" t="s">
        <v>1057</v>
      </c>
      <c r="D295" s="214">
        <v>10990</v>
      </c>
      <c r="E295" s="215">
        <f t="shared" si="4"/>
        <v>3</v>
      </c>
      <c r="F295" s="10">
        <v>1</v>
      </c>
      <c r="G295" s="10">
        <v>0</v>
      </c>
      <c r="H295" s="10">
        <v>0</v>
      </c>
      <c r="I295" s="216">
        <v>0</v>
      </c>
    </row>
    <row r="296" spans="1:9" x14ac:dyDescent="0.25">
      <c r="A296" s="8">
        <v>2001</v>
      </c>
      <c r="B296" s="10" t="s">
        <v>828</v>
      </c>
      <c r="C296" s="97" t="s">
        <v>1057</v>
      </c>
      <c r="D296" s="214">
        <v>10990</v>
      </c>
      <c r="E296" s="215">
        <f t="shared" si="4"/>
        <v>4</v>
      </c>
      <c r="F296" s="10">
        <v>1</v>
      </c>
      <c r="G296" s="10">
        <v>0</v>
      </c>
      <c r="H296" s="10">
        <v>0</v>
      </c>
      <c r="I296" s="216">
        <v>0</v>
      </c>
    </row>
    <row r="297" spans="1:9" x14ac:dyDescent="0.25">
      <c r="A297" s="8">
        <v>2000</v>
      </c>
      <c r="B297" s="10" t="s">
        <v>889</v>
      </c>
      <c r="C297" s="97" t="s">
        <v>1058</v>
      </c>
      <c r="D297" s="214">
        <v>10480</v>
      </c>
      <c r="E297" s="215">
        <f t="shared" si="4"/>
        <v>5</v>
      </c>
      <c r="F297" s="10">
        <v>1</v>
      </c>
      <c r="G297" s="10">
        <v>0</v>
      </c>
      <c r="H297" s="10">
        <v>0</v>
      </c>
      <c r="I297" s="216">
        <v>0</v>
      </c>
    </row>
    <row r="298" spans="1:9" x14ac:dyDescent="0.25">
      <c r="A298" s="8">
        <v>1999</v>
      </c>
      <c r="B298" s="10" t="s">
        <v>889</v>
      </c>
      <c r="C298" s="97" t="s">
        <v>1059</v>
      </c>
      <c r="D298" s="214">
        <v>9695</v>
      </c>
      <c r="E298" s="215">
        <f t="shared" si="4"/>
        <v>6</v>
      </c>
      <c r="F298" s="10">
        <v>1</v>
      </c>
      <c r="G298" s="10">
        <v>0</v>
      </c>
      <c r="H298" s="10">
        <v>0</v>
      </c>
      <c r="I298" s="216">
        <v>0</v>
      </c>
    </row>
    <row r="299" spans="1:9" x14ac:dyDescent="0.25">
      <c r="A299" s="8">
        <v>1990</v>
      </c>
      <c r="B299" s="10" t="s">
        <v>828</v>
      </c>
      <c r="C299" s="97" t="s">
        <v>1060</v>
      </c>
      <c r="D299" s="214">
        <v>2990</v>
      </c>
      <c r="E299" s="215">
        <f t="shared" si="4"/>
        <v>15</v>
      </c>
      <c r="F299" s="10">
        <v>0</v>
      </c>
      <c r="G299" s="10">
        <v>0</v>
      </c>
      <c r="H299" s="10">
        <v>0</v>
      </c>
      <c r="I299" s="216">
        <v>1</v>
      </c>
    </row>
    <row r="300" spans="1:9" x14ac:dyDescent="0.25">
      <c r="A300" s="8">
        <v>1994</v>
      </c>
      <c r="B300" s="10" t="s">
        <v>828</v>
      </c>
      <c r="C300" s="97" t="s">
        <v>1061</v>
      </c>
      <c r="D300" s="214">
        <v>4995</v>
      </c>
      <c r="E300" s="215">
        <f t="shared" si="4"/>
        <v>11</v>
      </c>
      <c r="F300" s="10">
        <v>1</v>
      </c>
      <c r="G300" s="10">
        <v>0</v>
      </c>
      <c r="H300" s="10">
        <v>0</v>
      </c>
      <c r="I300" s="216">
        <v>0</v>
      </c>
    </row>
    <row r="301" spans="1:9" x14ac:dyDescent="0.25">
      <c r="A301" s="8">
        <v>2002</v>
      </c>
      <c r="B301" s="10" t="s">
        <v>828</v>
      </c>
      <c r="C301" s="97" t="s">
        <v>1062</v>
      </c>
      <c r="D301" s="214">
        <v>8995</v>
      </c>
      <c r="E301" s="215">
        <f t="shared" si="4"/>
        <v>3</v>
      </c>
      <c r="F301" s="10">
        <v>1</v>
      </c>
      <c r="G301" s="10">
        <v>0</v>
      </c>
      <c r="H301" s="10">
        <v>0</v>
      </c>
      <c r="I301" s="216">
        <v>0</v>
      </c>
    </row>
    <row r="302" spans="1:9" x14ac:dyDescent="0.25">
      <c r="A302" s="8">
        <v>2002</v>
      </c>
      <c r="B302" s="10" t="s">
        <v>828</v>
      </c>
      <c r="C302" s="97" t="s">
        <v>1062</v>
      </c>
      <c r="D302" s="214">
        <v>11288</v>
      </c>
      <c r="E302" s="215">
        <f t="shared" si="4"/>
        <v>3</v>
      </c>
      <c r="F302" s="10">
        <v>1</v>
      </c>
      <c r="G302" s="10">
        <v>0</v>
      </c>
      <c r="H302" s="10">
        <v>0</v>
      </c>
      <c r="I302" s="216">
        <v>0</v>
      </c>
    </row>
    <row r="303" spans="1:9" x14ac:dyDescent="0.25">
      <c r="A303" s="8">
        <v>2002</v>
      </c>
      <c r="B303" s="10" t="s">
        <v>828</v>
      </c>
      <c r="C303" s="97" t="s">
        <v>1062</v>
      </c>
      <c r="D303" s="214">
        <v>8488</v>
      </c>
      <c r="E303" s="215">
        <f t="shared" si="4"/>
        <v>3</v>
      </c>
      <c r="F303" s="10">
        <v>1</v>
      </c>
      <c r="G303" s="10">
        <v>0</v>
      </c>
      <c r="H303" s="10">
        <v>0</v>
      </c>
      <c r="I303" s="216">
        <v>0</v>
      </c>
    </row>
    <row r="304" spans="1:9" x14ac:dyDescent="0.25">
      <c r="A304" s="8">
        <v>2001</v>
      </c>
      <c r="B304" s="10" t="s">
        <v>828</v>
      </c>
      <c r="C304" s="97" t="s">
        <v>1062</v>
      </c>
      <c r="D304" s="214">
        <v>8990</v>
      </c>
      <c r="E304" s="215">
        <f t="shared" si="4"/>
        <v>4</v>
      </c>
      <c r="F304" s="10">
        <v>1</v>
      </c>
      <c r="G304" s="10">
        <v>0</v>
      </c>
      <c r="H304" s="10">
        <v>0</v>
      </c>
      <c r="I304" s="216">
        <v>0</v>
      </c>
    </row>
    <row r="305" spans="1:9" x14ac:dyDescent="0.25">
      <c r="A305" s="8">
        <v>1999</v>
      </c>
      <c r="B305" s="10" t="s">
        <v>828</v>
      </c>
      <c r="C305" s="97" t="s">
        <v>1062</v>
      </c>
      <c r="D305" s="214">
        <v>5500</v>
      </c>
      <c r="E305" s="215">
        <f t="shared" si="4"/>
        <v>6</v>
      </c>
      <c r="F305" s="10">
        <v>1</v>
      </c>
      <c r="G305" s="10">
        <v>0</v>
      </c>
      <c r="H305" s="10">
        <v>0</v>
      </c>
      <c r="I305" s="216">
        <v>0</v>
      </c>
    </row>
    <row r="306" spans="1:9" x14ac:dyDescent="0.25">
      <c r="A306" s="8">
        <v>2000</v>
      </c>
      <c r="B306" s="10" t="s">
        <v>828</v>
      </c>
      <c r="C306" s="97" t="s">
        <v>1063</v>
      </c>
      <c r="D306" s="214">
        <v>5988</v>
      </c>
      <c r="E306" s="215">
        <f t="shared" si="4"/>
        <v>5</v>
      </c>
      <c r="F306" s="10">
        <v>1</v>
      </c>
      <c r="G306" s="10">
        <v>0</v>
      </c>
      <c r="H306" s="10">
        <v>0</v>
      </c>
      <c r="I306" s="216">
        <v>0</v>
      </c>
    </row>
    <row r="307" spans="1:9" x14ac:dyDescent="0.25">
      <c r="A307" s="8">
        <v>2004</v>
      </c>
      <c r="B307" s="10" t="s">
        <v>828</v>
      </c>
      <c r="C307" s="97" t="s">
        <v>1063</v>
      </c>
      <c r="D307" s="214">
        <v>11988</v>
      </c>
      <c r="E307" s="215">
        <f t="shared" si="4"/>
        <v>1</v>
      </c>
      <c r="F307" s="10">
        <v>1</v>
      </c>
      <c r="G307" s="10">
        <v>0</v>
      </c>
      <c r="H307" s="10">
        <v>0</v>
      </c>
      <c r="I307" s="216">
        <v>0</v>
      </c>
    </row>
    <row r="308" spans="1:9" x14ac:dyDescent="0.25">
      <c r="A308" s="8">
        <v>2003</v>
      </c>
      <c r="B308" s="10" t="s">
        <v>828</v>
      </c>
      <c r="C308" s="97" t="s">
        <v>1064</v>
      </c>
      <c r="D308" s="214">
        <v>10998</v>
      </c>
      <c r="E308" s="215">
        <f t="shared" si="4"/>
        <v>2</v>
      </c>
      <c r="F308" s="10">
        <v>1</v>
      </c>
      <c r="G308" s="10">
        <v>0</v>
      </c>
      <c r="H308" s="10">
        <v>0</v>
      </c>
      <c r="I308" s="216">
        <v>0</v>
      </c>
    </row>
    <row r="309" spans="1:9" x14ac:dyDescent="0.25">
      <c r="A309" s="8">
        <v>2000</v>
      </c>
      <c r="B309" s="10" t="s">
        <v>828</v>
      </c>
      <c r="C309" s="97" t="s">
        <v>1065</v>
      </c>
      <c r="D309" s="214">
        <v>5488</v>
      </c>
      <c r="E309" s="215">
        <f t="shared" si="4"/>
        <v>5</v>
      </c>
      <c r="F309" s="10">
        <v>1</v>
      </c>
      <c r="G309" s="10">
        <v>0</v>
      </c>
      <c r="H309" s="10">
        <v>0</v>
      </c>
      <c r="I309" s="216">
        <v>0</v>
      </c>
    </row>
    <row r="310" spans="1:9" x14ac:dyDescent="0.25">
      <c r="A310" s="8">
        <v>2002</v>
      </c>
      <c r="B310" s="10" t="s">
        <v>828</v>
      </c>
      <c r="C310" s="97" t="s">
        <v>1065</v>
      </c>
      <c r="D310" s="214">
        <v>11488</v>
      </c>
      <c r="E310" s="215">
        <f t="shared" si="4"/>
        <v>3</v>
      </c>
      <c r="F310" s="10">
        <v>1</v>
      </c>
      <c r="G310" s="10">
        <v>0</v>
      </c>
      <c r="H310" s="10">
        <v>0</v>
      </c>
      <c r="I310" s="216">
        <v>0</v>
      </c>
    </row>
    <row r="311" spans="1:9" x14ac:dyDescent="0.25">
      <c r="A311" s="8">
        <v>2002</v>
      </c>
      <c r="B311" s="10" t="s">
        <v>828</v>
      </c>
      <c r="C311" s="97" t="s">
        <v>1066</v>
      </c>
      <c r="D311" s="214">
        <v>9995</v>
      </c>
      <c r="E311" s="215">
        <f t="shared" si="4"/>
        <v>3</v>
      </c>
      <c r="F311" s="10">
        <v>1</v>
      </c>
      <c r="G311" s="10">
        <v>0</v>
      </c>
      <c r="H311" s="10">
        <v>0</v>
      </c>
      <c r="I311" s="216">
        <v>0</v>
      </c>
    </row>
    <row r="312" spans="1:9" x14ac:dyDescent="0.25">
      <c r="A312" s="8">
        <v>1999</v>
      </c>
      <c r="B312" s="10" t="s">
        <v>828</v>
      </c>
      <c r="C312" s="97" t="s">
        <v>1066</v>
      </c>
      <c r="D312" s="214">
        <v>7495</v>
      </c>
      <c r="E312" s="215">
        <f t="shared" si="4"/>
        <v>6</v>
      </c>
      <c r="F312" s="10">
        <v>1</v>
      </c>
      <c r="G312" s="10">
        <v>0</v>
      </c>
      <c r="H312" s="10">
        <v>0</v>
      </c>
      <c r="I312" s="216">
        <v>0</v>
      </c>
    </row>
    <row r="313" spans="1:9" x14ac:dyDescent="0.25">
      <c r="A313" s="8">
        <v>2003</v>
      </c>
      <c r="B313" s="10" t="s">
        <v>828</v>
      </c>
      <c r="C313" s="97" t="s">
        <v>1066</v>
      </c>
      <c r="D313" s="214">
        <v>13288</v>
      </c>
      <c r="E313" s="215">
        <f t="shared" si="4"/>
        <v>2</v>
      </c>
      <c r="F313" s="10">
        <v>1</v>
      </c>
      <c r="G313" s="10">
        <v>0</v>
      </c>
      <c r="H313" s="10">
        <v>0</v>
      </c>
      <c r="I313" s="216">
        <v>0</v>
      </c>
    </row>
    <row r="314" spans="1:9" x14ac:dyDescent="0.25">
      <c r="A314" s="8">
        <v>2003</v>
      </c>
      <c r="B314" s="10" t="s">
        <v>828</v>
      </c>
      <c r="C314" s="97" t="s">
        <v>1066</v>
      </c>
      <c r="D314" s="214">
        <v>12995</v>
      </c>
      <c r="E314" s="215">
        <f t="shared" si="4"/>
        <v>2</v>
      </c>
      <c r="F314" s="10">
        <v>1</v>
      </c>
      <c r="G314" s="10">
        <v>0</v>
      </c>
      <c r="H314" s="10">
        <v>0</v>
      </c>
      <c r="I314" s="216">
        <v>0</v>
      </c>
    </row>
    <row r="315" spans="1:9" x14ac:dyDescent="0.25">
      <c r="A315" s="8">
        <v>2004</v>
      </c>
      <c r="B315" s="10" t="s">
        <v>828</v>
      </c>
      <c r="C315" s="97" t="s">
        <v>1067</v>
      </c>
      <c r="D315" s="214">
        <v>18421</v>
      </c>
      <c r="E315" s="215">
        <f t="shared" si="4"/>
        <v>1</v>
      </c>
      <c r="F315" s="10">
        <v>1</v>
      </c>
      <c r="G315" s="10">
        <v>0</v>
      </c>
      <c r="H315" s="10">
        <v>0</v>
      </c>
      <c r="I315" s="216">
        <v>0</v>
      </c>
    </row>
    <row r="316" spans="1:9" x14ac:dyDescent="0.25">
      <c r="A316" s="8">
        <v>2003</v>
      </c>
      <c r="B316" s="10" t="s">
        <v>828</v>
      </c>
      <c r="C316" s="97" t="s">
        <v>1068</v>
      </c>
      <c r="D316" s="214">
        <v>10995</v>
      </c>
      <c r="E316" s="215">
        <f t="shared" si="4"/>
        <v>2</v>
      </c>
      <c r="F316" s="10">
        <v>1</v>
      </c>
      <c r="G316" s="10">
        <v>0</v>
      </c>
      <c r="H316" s="10">
        <v>0</v>
      </c>
      <c r="I316" s="216">
        <v>0</v>
      </c>
    </row>
    <row r="317" spans="1:9" x14ac:dyDescent="0.25">
      <c r="A317" s="8">
        <v>2003</v>
      </c>
      <c r="B317" s="10" t="s">
        <v>828</v>
      </c>
      <c r="C317" s="97" t="s">
        <v>1068</v>
      </c>
      <c r="D317" s="214">
        <v>10995</v>
      </c>
      <c r="E317" s="215">
        <f t="shared" si="4"/>
        <v>2</v>
      </c>
      <c r="F317" s="10">
        <v>1</v>
      </c>
      <c r="G317" s="10">
        <v>0</v>
      </c>
      <c r="H317" s="10">
        <v>0</v>
      </c>
      <c r="I317" s="216">
        <v>0</v>
      </c>
    </row>
    <row r="318" spans="1:9" x14ac:dyDescent="0.25">
      <c r="A318" s="8">
        <v>2002</v>
      </c>
      <c r="B318" s="10" t="s">
        <v>828</v>
      </c>
      <c r="C318" s="97" t="s">
        <v>1068</v>
      </c>
      <c r="D318" s="214">
        <v>9995</v>
      </c>
      <c r="E318" s="215">
        <f t="shared" si="4"/>
        <v>3</v>
      </c>
      <c r="F318" s="10">
        <v>1</v>
      </c>
      <c r="G318" s="10">
        <v>0</v>
      </c>
      <c r="H318" s="10">
        <v>0</v>
      </c>
      <c r="I318" s="216">
        <v>0</v>
      </c>
    </row>
    <row r="319" spans="1:9" x14ac:dyDescent="0.25">
      <c r="A319" s="8">
        <v>2004</v>
      </c>
      <c r="B319" s="10" t="s">
        <v>828</v>
      </c>
      <c r="C319" s="97" t="s">
        <v>1068</v>
      </c>
      <c r="D319" s="214">
        <v>10995</v>
      </c>
      <c r="E319" s="215">
        <f t="shared" si="4"/>
        <v>1</v>
      </c>
      <c r="F319" s="10">
        <v>1</v>
      </c>
      <c r="G319" s="10">
        <v>0</v>
      </c>
      <c r="H319" s="10">
        <v>0</v>
      </c>
      <c r="I319" s="216">
        <v>0</v>
      </c>
    </row>
    <row r="320" spans="1:9" x14ac:dyDescent="0.25">
      <c r="A320" s="8">
        <v>2003</v>
      </c>
      <c r="B320" s="10" t="s">
        <v>828</v>
      </c>
      <c r="C320" s="97" t="s">
        <v>1068</v>
      </c>
      <c r="D320" s="214">
        <v>10990</v>
      </c>
      <c r="E320" s="215">
        <f t="shared" si="4"/>
        <v>2</v>
      </c>
      <c r="F320" s="10">
        <v>1</v>
      </c>
      <c r="G320" s="10">
        <v>0</v>
      </c>
      <c r="H320" s="10">
        <v>0</v>
      </c>
      <c r="I320" s="216">
        <v>0</v>
      </c>
    </row>
    <row r="321" spans="1:9" x14ac:dyDescent="0.25">
      <c r="A321" s="8">
        <v>2002</v>
      </c>
      <c r="B321" s="10" t="s">
        <v>828</v>
      </c>
      <c r="C321" s="97" t="s">
        <v>1069</v>
      </c>
      <c r="D321" s="214">
        <v>7990</v>
      </c>
      <c r="E321" s="215">
        <f t="shared" si="4"/>
        <v>3</v>
      </c>
      <c r="F321" s="10">
        <v>1</v>
      </c>
      <c r="G321" s="10">
        <v>0</v>
      </c>
      <c r="H321" s="10">
        <v>0</v>
      </c>
      <c r="I321" s="216">
        <v>0</v>
      </c>
    </row>
    <row r="322" spans="1:9" x14ac:dyDescent="0.25">
      <c r="A322" s="8">
        <v>2002</v>
      </c>
      <c r="B322" s="10" t="s">
        <v>828</v>
      </c>
      <c r="C322" s="97" t="s">
        <v>1070</v>
      </c>
      <c r="D322" s="214">
        <v>22900</v>
      </c>
      <c r="E322" s="215">
        <f t="shared" ref="E322:E385" si="5">2005-A322</f>
        <v>3</v>
      </c>
      <c r="F322" s="10">
        <v>1</v>
      </c>
      <c r="G322" s="10">
        <v>0</v>
      </c>
      <c r="H322" s="10">
        <v>0</v>
      </c>
      <c r="I322" s="216">
        <v>0</v>
      </c>
    </row>
    <row r="323" spans="1:9" x14ac:dyDescent="0.25">
      <c r="A323" s="8">
        <v>2001</v>
      </c>
      <c r="B323" s="10" t="s">
        <v>892</v>
      </c>
      <c r="C323" s="97" t="s">
        <v>1071</v>
      </c>
      <c r="D323" s="214">
        <v>15495</v>
      </c>
      <c r="E323" s="215">
        <f t="shared" si="5"/>
        <v>4</v>
      </c>
      <c r="F323" s="10">
        <v>0</v>
      </c>
      <c r="G323" s="10">
        <v>0</v>
      </c>
      <c r="H323" s="10">
        <v>1</v>
      </c>
      <c r="I323" s="216">
        <v>0</v>
      </c>
    </row>
    <row r="324" spans="1:9" x14ac:dyDescent="0.25">
      <c r="A324" s="8">
        <v>2003</v>
      </c>
      <c r="B324" s="10" t="s">
        <v>828</v>
      </c>
      <c r="C324" s="97" t="s">
        <v>1072</v>
      </c>
      <c r="D324" s="214">
        <v>16973</v>
      </c>
      <c r="E324" s="215">
        <f t="shared" si="5"/>
        <v>2</v>
      </c>
      <c r="F324" s="10">
        <v>1</v>
      </c>
      <c r="G324" s="10">
        <v>0</v>
      </c>
      <c r="H324" s="10">
        <v>0</v>
      </c>
      <c r="I324" s="216">
        <v>0</v>
      </c>
    </row>
    <row r="325" spans="1:9" x14ac:dyDescent="0.25">
      <c r="A325" s="8">
        <v>2004</v>
      </c>
      <c r="B325" s="10" t="s">
        <v>828</v>
      </c>
      <c r="C325" s="97" t="s">
        <v>1073</v>
      </c>
      <c r="D325" s="214">
        <v>14995</v>
      </c>
      <c r="E325" s="215">
        <f t="shared" si="5"/>
        <v>1</v>
      </c>
      <c r="F325" s="10">
        <v>1</v>
      </c>
      <c r="G325" s="10">
        <v>0</v>
      </c>
      <c r="H325" s="10">
        <v>0</v>
      </c>
      <c r="I325" s="216">
        <v>0</v>
      </c>
    </row>
    <row r="326" spans="1:9" x14ac:dyDescent="0.25">
      <c r="A326" s="8">
        <v>2000</v>
      </c>
      <c r="B326" s="10" t="s">
        <v>828</v>
      </c>
      <c r="C326" s="97" t="s">
        <v>1073</v>
      </c>
      <c r="D326" s="214">
        <v>7995</v>
      </c>
      <c r="E326" s="215">
        <f t="shared" si="5"/>
        <v>5</v>
      </c>
      <c r="F326" s="10">
        <v>1</v>
      </c>
      <c r="G326" s="10">
        <v>0</v>
      </c>
      <c r="H326" s="10">
        <v>0</v>
      </c>
      <c r="I326" s="216">
        <v>0</v>
      </c>
    </row>
    <row r="327" spans="1:9" x14ac:dyDescent="0.25">
      <c r="A327" s="8">
        <v>2003</v>
      </c>
      <c r="B327" s="10" t="s">
        <v>828</v>
      </c>
      <c r="C327" s="97" t="s">
        <v>1074</v>
      </c>
      <c r="D327" s="214">
        <v>14995</v>
      </c>
      <c r="E327" s="215">
        <f t="shared" si="5"/>
        <v>2</v>
      </c>
      <c r="F327" s="10">
        <v>1</v>
      </c>
      <c r="G327" s="10">
        <v>0</v>
      </c>
      <c r="H327" s="10">
        <v>0</v>
      </c>
      <c r="I327" s="216">
        <v>0</v>
      </c>
    </row>
    <row r="328" spans="1:9" x14ac:dyDescent="0.25">
      <c r="A328" s="8">
        <v>2002</v>
      </c>
      <c r="B328" s="10" t="s">
        <v>828</v>
      </c>
      <c r="C328" s="97" t="s">
        <v>1075</v>
      </c>
      <c r="D328" s="214">
        <v>12950</v>
      </c>
      <c r="E328" s="215">
        <f t="shared" si="5"/>
        <v>3</v>
      </c>
      <c r="F328" s="10">
        <v>1</v>
      </c>
      <c r="G328" s="10">
        <v>0</v>
      </c>
      <c r="H328" s="10">
        <v>0</v>
      </c>
      <c r="I328" s="216">
        <v>0</v>
      </c>
    </row>
    <row r="329" spans="1:9" x14ac:dyDescent="0.25">
      <c r="A329" s="8">
        <v>2003</v>
      </c>
      <c r="B329" s="10" t="s">
        <v>828</v>
      </c>
      <c r="C329" s="97" t="s">
        <v>1075</v>
      </c>
      <c r="D329" s="214">
        <v>13495</v>
      </c>
      <c r="E329" s="215">
        <f t="shared" si="5"/>
        <v>2</v>
      </c>
      <c r="F329" s="10">
        <v>1</v>
      </c>
      <c r="G329" s="10">
        <v>0</v>
      </c>
      <c r="H329" s="10">
        <v>0</v>
      </c>
      <c r="I329" s="216">
        <v>0</v>
      </c>
    </row>
    <row r="330" spans="1:9" x14ac:dyDescent="0.25">
      <c r="A330" s="8">
        <v>2002</v>
      </c>
      <c r="B330" s="10" t="s">
        <v>828</v>
      </c>
      <c r="C330" s="97" t="s">
        <v>1075</v>
      </c>
      <c r="D330" s="214">
        <v>11995</v>
      </c>
      <c r="E330" s="215">
        <f t="shared" si="5"/>
        <v>3</v>
      </c>
      <c r="F330" s="10">
        <v>1</v>
      </c>
      <c r="G330" s="10">
        <v>0</v>
      </c>
      <c r="H330" s="10">
        <v>0</v>
      </c>
      <c r="I330" s="216">
        <v>0</v>
      </c>
    </row>
    <row r="331" spans="1:9" x14ac:dyDescent="0.25">
      <c r="A331" s="8">
        <v>2003</v>
      </c>
      <c r="B331" s="10" t="s">
        <v>828</v>
      </c>
      <c r="C331" s="97" t="s">
        <v>1076</v>
      </c>
      <c r="D331" s="214">
        <v>13900</v>
      </c>
      <c r="E331" s="215">
        <f t="shared" si="5"/>
        <v>2</v>
      </c>
      <c r="F331" s="10">
        <v>1</v>
      </c>
      <c r="G331" s="10">
        <v>0</v>
      </c>
      <c r="H331" s="10">
        <v>0</v>
      </c>
      <c r="I331" s="216">
        <v>0</v>
      </c>
    </row>
    <row r="332" spans="1:9" x14ac:dyDescent="0.25">
      <c r="A332" s="8">
        <v>2001</v>
      </c>
      <c r="B332" s="10" t="s">
        <v>828</v>
      </c>
      <c r="C332" s="97" t="s">
        <v>1077</v>
      </c>
      <c r="D332" s="214">
        <v>12999</v>
      </c>
      <c r="E332" s="215">
        <f t="shared" si="5"/>
        <v>4</v>
      </c>
      <c r="F332" s="10">
        <v>1</v>
      </c>
      <c r="G332" s="10">
        <v>0</v>
      </c>
      <c r="H332" s="10">
        <v>0</v>
      </c>
      <c r="I332" s="216">
        <v>0</v>
      </c>
    </row>
    <row r="333" spans="1:9" x14ac:dyDescent="0.25">
      <c r="A333" s="8">
        <v>2002</v>
      </c>
      <c r="B333" s="10" t="s">
        <v>828</v>
      </c>
      <c r="C333" s="97" t="s">
        <v>1078</v>
      </c>
      <c r="D333" s="214">
        <v>11688</v>
      </c>
      <c r="E333" s="215">
        <f t="shared" si="5"/>
        <v>3</v>
      </c>
      <c r="F333" s="10">
        <v>1</v>
      </c>
      <c r="G333" s="10">
        <v>0</v>
      </c>
      <c r="H333" s="10">
        <v>0</v>
      </c>
      <c r="I333" s="216">
        <v>0</v>
      </c>
    </row>
    <row r="334" spans="1:9" x14ac:dyDescent="0.25">
      <c r="A334" s="8">
        <v>2003</v>
      </c>
      <c r="B334" s="10" t="s">
        <v>828</v>
      </c>
      <c r="C334" s="97" t="s">
        <v>1079</v>
      </c>
      <c r="D334" s="214">
        <v>13995</v>
      </c>
      <c r="E334" s="215">
        <f t="shared" si="5"/>
        <v>2</v>
      </c>
      <c r="F334" s="10">
        <v>1</v>
      </c>
      <c r="G334" s="10">
        <v>0</v>
      </c>
      <c r="H334" s="10">
        <v>0</v>
      </c>
      <c r="I334" s="216">
        <v>0</v>
      </c>
    </row>
    <row r="335" spans="1:9" x14ac:dyDescent="0.25">
      <c r="A335" s="8">
        <v>2003</v>
      </c>
      <c r="B335" s="10" t="s">
        <v>828</v>
      </c>
      <c r="C335" s="97" t="s">
        <v>1080</v>
      </c>
      <c r="D335" s="214">
        <v>17995</v>
      </c>
      <c r="E335" s="215">
        <f t="shared" si="5"/>
        <v>2</v>
      </c>
      <c r="F335" s="10">
        <v>1</v>
      </c>
      <c r="G335" s="10">
        <v>0</v>
      </c>
      <c r="H335" s="10">
        <v>0</v>
      </c>
      <c r="I335" s="216">
        <v>0</v>
      </c>
    </row>
    <row r="336" spans="1:9" x14ac:dyDescent="0.25">
      <c r="A336" s="8">
        <v>2001</v>
      </c>
      <c r="B336" s="10" t="s">
        <v>828</v>
      </c>
      <c r="C336" s="97" t="s">
        <v>1080</v>
      </c>
      <c r="D336" s="214">
        <v>14995</v>
      </c>
      <c r="E336" s="215">
        <f t="shared" si="5"/>
        <v>4</v>
      </c>
      <c r="F336" s="10">
        <v>1</v>
      </c>
      <c r="G336" s="10">
        <v>0</v>
      </c>
      <c r="H336" s="10">
        <v>0</v>
      </c>
      <c r="I336" s="216">
        <v>0</v>
      </c>
    </row>
    <row r="337" spans="1:9" x14ac:dyDescent="0.25">
      <c r="A337" s="8">
        <v>2002</v>
      </c>
      <c r="B337" s="10" t="s">
        <v>828</v>
      </c>
      <c r="C337" s="97" t="s">
        <v>1081</v>
      </c>
      <c r="D337" s="214">
        <v>15995</v>
      </c>
      <c r="E337" s="215">
        <f t="shared" si="5"/>
        <v>3</v>
      </c>
      <c r="F337" s="10">
        <v>1</v>
      </c>
      <c r="G337" s="10">
        <v>0</v>
      </c>
      <c r="H337" s="10">
        <v>0</v>
      </c>
      <c r="I337" s="216">
        <v>0</v>
      </c>
    </row>
    <row r="338" spans="1:9" x14ac:dyDescent="0.25">
      <c r="A338" s="8">
        <v>2002</v>
      </c>
      <c r="B338" s="10" t="s">
        <v>828</v>
      </c>
      <c r="C338" s="97" t="s">
        <v>1080</v>
      </c>
      <c r="D338" s="214">
        <v>13990</v>
      </c>
      <c r="E338" s="215">
        <f t="shared" si="5"/>
        <v>3</v>
      </c>
      <c r="F338" s="10">
        <v>1</v>
      </c>
      <c r="G338" s="10">
        <v>0</v>
      </c>
      <c r="H338" s="10">
        <v>0</v>
      </c>
      <c r="I338" s="216">
        <v>0</v>
      </c>
    </row>
    <row r="339" spans="1:9" x14ac:dyDescent="0.25">
      <c r="A339" s="8">
        <v>2004</v>
      </c>
      <c r="B339" s="10" t="s">
        <v>828</v>
      </c>
      <c r="C339" s="97" t="s">
        <v>1080</v>
      </c>
      <c r="D339" s="214">
        <v>23995</v>
      </c>
      <c r="E339" s="215">
        <f t="shared" si="5"/>
        <v>1</v>
      </c>
      <c r="F339" s="10">
        <v>1</v>
      </c>
      <c r="G339" s="10">
        <v>0</v>
      </c>
      <c r="H339" s="10">
        <v>0</v>
      </c>
      <c r="I339" s="216">
        <v>0</v>
      </c>
    </row>
    <row r="340" spans="1:9" x14ac:dyDescent="0.25">
      <c r="A340" s="8">
        <v>2002</v>
      </c>
      <c r="B340" s="10" t="s">
        <v>828</v>
      </c>
      <c r="C340" s="97" t="s">
        <v>1080</v>
      </c>
      <c r="D340" s="214">
        <v>14995</v>
      </c>
      <c r="E340" s="215">
        <f t="shared" si="5"/>
        <v>3</v>
      </c>
      <c r="F340" s="10">
        <v>1</v>
      </c>
      <c r="G340" s="10">
        <v>0</v>
      </c>
      <c r="H340" s="10">
        <v>0</v>
      </c>
      <c r="I340" s="216">
        <v>0</v>
      </c>
    </row>
    <row r="341" spans="1:9" x14ac:dyDescent="0.25">
      <c r="A341" s="8">
        <v>2003</v>
      </c>
      <c r="B341" s="10" t="s">
        <v>828</v>
      </c>
      <c r="C341" s="97" t="s">
        <v>1082</v>
      </c>
      <c r="D341" s="214">
        <v>17921</v>
      </c>
      <c r="E341" s="215">
        <f t="shared" si="5"/>
        <v>2</v>
      </c>
      <c r="F341" s="10">
        <v>1</v>
      </c>
      <c r="G341" s="10">
        <v>0</v>
      </c>
      <c r="H341" s="10">
        <v>0</v>
      </c>
      <c r="I341" s="216">
        <v>0</v>
      </c>
    </row>
    <row r="342" spans="1:9" x14ac:dyDescent="0.25">
      <c r="A342" s="8">
        <v>2002</v>
      </c>
      <c r="B342" s="10" t="s">
        <v>828</v>
      </c>
      <c r="C342" s="97" t="s">
        <v>1083</v>
      </c>
      <c r="D342" s="214">
        <v>17980</v>
      </c>
      <c r="E342" s="215">
        <f t="shared" si="5"/>
        <v>3</v>
      </c>
      <c r="F342" s="10">
        <v>1</v>
      </c>
      <c r="G342" s="10">
        <v>0</v>
      </c>
      <c r="H342" s="10">
        <v>0</v>
      </c>
      <c r="I342" s="216">
        <v>0</v>
      </c>
    </row>
    <row r="343" spans="1:9" x14ac:dyDescent="0.25">
      <c r="A343" s="8">
        <v>2003</v>
      </c>
      <c r="B343" s="10" t="s">
        <v>828</v>
      </c>
      <c r="C343" s="97" t="s">
        <v>1084</v>
      </c>
      <c r="D343" s="214">
        <v>118995</v>
      </c>
      <c r="E343" s="215">
        <f t="shared" si="5"/>
        <v>2</v>
      </c>
      <c r="F343" s="10">
        <v>1</v>
      </c>
      <c r="G343" s="10">
        <v>0</v>
      </c>
      <c r="H343" s="10">
        <v>0</v>
      </c>
      <c r="I343" s="216">
        <v>0</v>
      </c>
    </row>
    <row r="344" spans="1:9" x14ac:dyDescent="0.25">
      <c r="A344" s="8">
        <v>2001</v>
      </c>
      <c r="B344" s="10" t="s">
        <v>828</v>
      </c>
      <c r="C344" s="97" t="s">
        <v>1085</v>
      </c>
      <c r="D344" s="214">
        <v>11995</v>
      </c>
      <c r="E344" s="215">
        <f t="shared" si="5"/>
        <v>4</v>
      </c>
      <c r="F344" s="10">
        <v>1</v>
      </c>
      <c r="G344" s="10">
        <v>0</v>
      </c>
      <c r="H344" s="10">
        <v>0</v>
      </c>
      <c r="I344" s="216">
        <v>0</v>
      </c>
    </row>
    <row r="345" spans="1:9" x14ac:dyDescent="0.25">
      <c r="A345" s="8">
        <v>2003</v>
      </c>
      <c r="B345" s="10" t="s">
        <v>828</v>
      </c>
      <c r="C345" s="97" t="s">
        <v>1085</v>
      </c>
      <c r="D345" s="214">
        <v>16995</v>
      </c>
      <c r="E345" s="215">
        <f t="shared" si="5"/>
        <v>2</v>
      </c>
      <c r="F345" s="10">
        <v>1</v>
      </c>
      <c r="G345" s="10">
        <v>0</v>
      </c>
      <c r="H345" s="10">
        <v>0</v>
      </c>
      <c r="I345" s="216">
        <v>0</v>
      </c>
    </row>
    <row r="346" spans="1:9" x14ac:dyDescent="0.25">
      <c r="A346" s="8">
        <v>2001</v>
      </c>
      <c r="B346" s="10" t="s">
        <v>828</v>
      </c>
      <c r="C346" s="97" t="s">
        <v>1086</v>
      </c>
      <c r="D346" s="214">
        <v>8995</v>
      </c>
      <c r="E346" s="215">
        <f t="shared" si="5"/>
        <v>4</v>
      </c>
      <c r="F346" s="10">
        <v>1</v>
      </c>
      <c r="G346" s="10">
        <v>0</v>
      </c>
      <c r="H346" s="10">
        <v>0</v>
      </c>
      <c r="I346" s="216">
        <v>0</v>
      </c>
    </row>
    <row r="347" spans="1:9" x14ac:dyDescent="0.25">
      <c r="A347" s="8">
        <v>2000</v>
      </c>
      <c r="B347" s="10" t="s">
        <v>828</v>
      </c>
      <c r="C347" s="97" t="s">
        <v>1087</v>
      </c>
      <c r="D347" s="214">
        <v>10500</v>
      </c>
      <c r="E347" s="215">
        <f t="shared" si="5"/>
        <v>5</v>
      </c>
      <c r="F347" s="10">
        <v>1</v>
      </c>
      <c r="G347" s="10">
        <v>0</v>
      </c>
      <c r="H347" s="10">
        <v>0</v>
      </c>
      <c r="I347" s="216">
        <v>0</v>
      </c>
    </row>
    <row r="348" spans="1:9" x14ac:dyDescent="0.25">
      <c r="A348" s="8">
        <v>2002</v>
      </c>
      <c r="B348" s="10" t="s">
        <v>828</v>
      </c>
      <c r="C348" s="97" t="s">
        <v>1088</v>
      </c>
      <c r="D348" s="214">
        <v>12990</v>
      </c>
      <c r="E348" s="215">
        <f t="shared" si="5"/>
        <v>3</v>
      </c>
      <c r="F348" s="10">
        <v>1</v>
      </c>
      <c r="G348" s="10">
        <v>0</v>
      </c>
      <c r="H348" s="10">
        <v>0</v>
      </c>
      <c r="I348" s="216">
        <v>0</v>
      </c>
    </row>
    <row r="349" spans="1:9" x14ac:dyDescent="0.25">
      <c r="A349" s="8">
        <v>2003</v>
      </c>
      <c r="B349" s="10" t="s">
        <v>892</v>
      </c>
      <c r="C349" s="97" t="s">
        <v>1089</v>
      </c>
      <c r="D349" s="214">
        <v>15563</v>
      </c>
      <c r="E349" s="215">
        <f t="shared" si="5"/>
        <v>2</v>
      </c>
      <c r="F349" s="10">
        <v>1</v>
      </c>
      <c r="G349" s="10">
        <v>0</v>
      </c>
      <c r="H349" s="10">
        <v>0</v>
      </c>
      <c r="I349" s="216">
        <v>0</v>
      </c>
    </row>
    <row r="350" spans="1:9" x14ac:dyDescent="0.25">
      <c r="A350" s="8">
        <v>2003</v>
      </c>
      <c r="B350" s="10" t="s">
        <v>892</v>
      </c>
      <c r="C350" s="97" t="s">
        <v>1090</v>
      </c>
      <c r="D350" s="214">
        <v>13783</v>
      </c>
      <c r="E350" s="215">
        <f t="shared" si="5"/>
        <v>2</v>
      </c>
      <c r="F350" s="10">
        <v>1</v>
      </c>
      <c r="G350" s="10">
        <v>0</v>
      </c>
      <c r="H350" s="10">
        <v>0</v>
      </c>
      <c r="I350" s="216">
        <v>0</v>
      </c>
    </row>
    <row r="351" spans="1:9" x14ac:dyDescent="0.25">
      <c r="A351" s="8">
        <v>2003</v>
      </c>
      <c r="B351" s="10" t="s">
        <v>892</v>
      </c>
      <c r="C351" s="97" t="s">
        <v>1090</v>
      </c>
      <c r="D351" s="214">
        <v>14900</v>
      </c>
      <c r="E351" s="215">
        <f t="shared" si="5"/>
        <v>2</v>
      </c>
      <c r="F351" s="10">
        <v>1</v>
      </c>
      <c r="G351" s="10">
        <v>0</v>
      </c>
      <c r="H351" s="10">
        <v>0</v>
      </c>
      <c r="I351" s="216">
        <v>0</v>
      </c>
    </row>
    <row r="352" spans="1:9" x14ac:dyDescent="0.25">
      <c r="A352" s="8">
        <v>2003</v>
      </c>
      <c r="B352" s="10" t="s">
        <v>892</v>
      </c>
      <c r="C352" s="97" t="s">
        <v>1090</v>
      </c>
      <c r="D352" s="214">
        <v>10995</v>
      </c>
      <c r="E352" s="215">
        <f t="shared" si="5"/>
        <v>2</v>
      </c>
      <c r="F352" s="10">
        <v>1</v>
      </c>
      <c r="G352" s="10">
        <v>0</v>
      </c>
      <c r="H352" s="10">
        <v>0</v>
      </c>
      <c r="I352" s="216">
        <v>0</v>
      </c>
    </row>
    <row r="353" spans="1:9" x14ac:dyDescent="0.25">
      <c r="A353" s="8">
        <v>2001</v>
      </c>
      <c r="B353" s="10" t="s">
        <v>892</v>
      </c>
      <c r="C353" s="97" t="s">
        <v>1090</v>
      </c>
      <c r="D353" s="214">
        <v>10995</v>
      </c>
      <c r="E353" s="215">
        <f t="shared" si="5"/>
        <v>4</v>
      </c>
      <c r="F353" s="10">
        <v>1</v>
      </c>
      <c r="G353" s="10">
        <v>0</v>
      </c>
      <c r="H353" s="10">
        <v>0</v>
      </c>
      <c r="I353" s="216">
        <v>0</v>
      </c>
    </row>
    <row r="354" spans="1:9" x14ac:dyDescent="0.25">
      <c r="A354" s="8">
        <v>1998</v>
      </c>
      <c r="B354" s="10" t="s">
        <v>892</v>
      </c>
      <c r="C354" s="97" t="s">
        <v>1090</v>
      </c>
      <c r="D354" s="214">
        <v>3995</v>
      </c>
      <c r="E354" s="215">
        <f t="shared" si="5"/>
        <v>7</v>
      </c>
      <c r="F354" s="10">
        <v>1</v>
      </c>
      <c r="G354" s="10">
        <v>0</v>
      </c>
      <c r="H354" s="10">
        <v>0</v>
      </c>
      <c r="I354" s="216">
        <v>0</v>
      </c>
    </row>
    <row r="355" spans="1:9" x14ac:dyDescent="0.25">
      <c r="A355" s="8">
        <v>2002</v>
      </c>
      <c r="B355" s="10" t="s">
        <v>892</v>
      </c>
      <c r="C355" s="97" t="s">
        <v>1090</v>
      </c>
      <c r="D355" s="214">
        <v>10995</v>
      </c>
      <c r="E355" s="215">
        <f t="shared" si="5"/>
        <v>3</v>
      </c>
      <c r="F355" s="10">
        <v>1</v>
      </c>
      <c r="G355" s="10">
        <v>0</v>
      </c>
      <c r="H355" s="10">
        <v>0</v>
      </c>
      <c r="I355" s="216">
        <v>0</v>
      </c>
    </row>
    <row r="356" spans="1:9" x14ac:dyDescent="0.25">
      <c r="A356" s="8">
        <v>2004</v>
      </c>
      <c r="B356" s="10" t="s">
        <v>892</v>
      </c>
      <c r="C356" s="97" t="s">
        <v>1090</v>
      </c>
      <c r="D356" s="214">
        <v>15680</v>
      </c>
      <c r="E356" s="215">
        <f t="shared" si="5"/>
        <v>1</v>
      </c>
      <c r="F356" s="10">
        <v>1</v>
      </c>
      <c r="G356" s="10">
        <v>0</v>
      </c>
      <c r="H356" s="10">
        <v>0</v>
      </c>
      <c r="I356" s="216">
        <v>0</v>
      </c>
    </row>
    <row r="357" spans="1:9" x14ac:dyDescent="0.25">
      <c r="A357" s="8">
        <v>1999</v>
      </c>
      <c r="B357" s="10" t="s">
        <v>892</v>
      </c>
      <c r="C357" s="97" t="s">
        <v>1091</v>
      </c>
      <c r="D357" s="214">
        <v>8995</v>
      </c>
      <c r="E357" s="215">
        <f t="shared" si="5"/>
        <v>6</v>
      </c>
      <c r="F357" s="10">
        <v>1</v>
      </c>
      <c r="G357" s="10">
        <v>0</v>
      </c>
      <c r="H357" s="10">
        <v>0</v>
      </c>
      <c r="I357" s="216">
        <v>0</v>
      </c>
    </row>
    <row r="358" spans="1:9" x14ac:dyDescent="0.25">
      <c r="A358" s="8">
        <v>2003</v>
      </c>
      <c r="B358" s="10" t="s">
        <v>892</v>
      </c>
      <c r="C358" s="97" t="s">
        <v>1092</v>
      </c>
      <c r="D358" s="214">
        <v>29995</v>
      </c>
      <c r="E358" s="215">
        <f t="shared" si="5"/>
        <v>2</v>
      </c>
      <c r="F358" s="10">
        <v>1</v>
      </c>
      <c r="G358" s="10">
        <v>0</v>
      </c>
      <c r="H358" s="10">
        <v>0</v>
      </c>
      <c r="I358" s="216">
        <v>0</v>
      </c>
    </row>
    <row r="359" spans="1:9" x14ac:dyDescent="0.25">
      <c r="A359" s="8">
        <v>2001</v>
      </c>
      <c r="B359" s="10" t="s">
        <v>892</v>
      </c>
      <c r="C359" s="97" t="s">
        <v>1093</v>
      </c>
      <c r="D359" s="214">
        <v>22387</v>
      </c>
      <c r="E359" s="215">
        <f t="shared" si="5"/>
        <v>4</v>
      </c>
      <c r="F359" s="10">
        <v>1</v>
      </c>
      <c r="G359" s="10">
        <v>0</v>
      </c>
      <c r="H359" s="10">
        <v>0</v>
      </c>
      <c r="I359" s="216">
        <v>0</v>
      </c>
    </row>
    <row r="360" spans="1:9" x14ac:dyDescent="0.25">
      <c r="A360" s="8">
        <v>2003</v>
      </c>
      <c r="B360" s="10" t="s">
        <v>892</v>
      </c>
      <c r="C360" s="97" t="s">
        <v>1094</v>
      </c>
      <c r="D360" s="214">
        <v>12980</v>
      </c>
      <c r="E360" s="215">
        <f t="shared" si="5"/>
        <v>2</v>
      </c>
      <c r="F360" s="10">
        <v>1</v>
      </c>
      <c r="G360" s="10">
        <v>0</v>
      </c>
      <c r="H360" s="10">
        <v>0</v>
      </c>
      <c r="I360" s="216">
        <v>0</v>
      </c>
    </row>
    <row r="361" spans="1:9" x14ac:dyDescent="0.25">
      <c r="A361" s="8">
        <v>2000</v>
      </c>
      <c r="B361" s="10" t="s">
        <v>892</v>
      </c>
      <c r="C361" s="97" t="s">
        <v>1094</v>
      </c>
      <c r="D361" s="214">
        <v>9995</v>
      </c>
      <c r="E361" s="215">
        <f t="shared" si="5"/>
        <v>5</v>
      </c>
      <c r="F361" s="10">
        <v>1</v>
      </c>
      <c r="G361" s="10">
        <v>0</v>
      </c>
      <c r="H361" s="10">
        <v>0</v>
      </c>
      <c r="I361" s="216">
        <v>0</v>
      </c>
    </row>
    <row r="362" spans="1:9" x14ac:dyDescent="0.25">
      <c r="A362" s="8">
        <v>2003</v>
      </c>
      <c r="B362" s="10" t="s">
        <v>892</v>
      </c>
      <c r="C362" s="97" t="s">
        <v>1094</v>
      </c>
      <c r="D362" s="214">
        <v>16488</v>
      </c>
      <c r="E362" s="215">
        <f t="shared" si="5"/>
        <v>2</v>
      </c>
      <c r="F362" s="10">
        <v>1</v>
      </c>
      <c r="G362" s="10">
        <v>0</v>
      </c>
      <c r="H362" s="10">
        <v>0</v>
      </c>
      <c r="I362" s="216">
        <v>0</v>
      </c>
    </row>
    <row r="363" spans="1:9" x14ac:dyDescent="0.25">
      <c r="A363" s="8">
        <v>2001</v>
      </c>
      <c r="B363" s="10" t="s">
        <v>892</v>
      </c>
      <c r="C363" s="97" t="s">
        <v>1094</v>
      </c>
      <c r="D363" s="214">
        <v>12975</v>
      </c>
      <c r="E363" s="215">
        <f t="shared" si="5"/>
        <v>4</v>
      </c>
      <c r="F363" s="10">
        <v>1</v>
      </c>
      <c r="G363" s="10">
        <v>0</v>
      </c>
      <c r="H363" s="10">
        <v>0</v>
      </c>
      <c r="I363" s="216">
        <v>0</v>
      </c>
    </row>
    <row r="364" spans="1:9" x14ac:dyDescent="0.25">
      <c r="A364" s="8">
        <v>2001</v>
      </c>
      <c r="B364" s="10" t="s">
        <v>892</v>
      </c>
      <c r="C364" s="97" t="s">
        <v>1094</v>
      </c>
      <c r="D364" s="214">
        <v>21995</v>
      </c>
      <c r="E364" s="215">
        <f t="shared" si="5"/>
        <v>4</v>
      </c>
      <c r="F364" s="10">
        <v>1</v>
      </c>
      <c r="G364" s="10">
        <v>0</v>
      </c>
      <c r="H364" s="10">
        <v>0</v>
      </c>
      <c r="I364" s="216">
        <v>0</v>
      </c>
    </row>
    <row r="365" spans="1:9" x14ac:dyDescent="0.25">
      <c r="A365" s="8">
        <v>2003</v>
      </c>
      <c r="B365" s="10" t="s">
        <v>892</v>
      </c>
      <c r="C365" s="97" t="s">
        <v>1095</v>
      </c>
      <c r="D365" s="214">
        <v>13995</v>
      </c>
      <c r="E365" s="215">
        <f t="shared" si="5"/>
        <v>2</v>
      </c>
      <c r="F365" s="10">
        <v>1</v>
      </c>
      <c r="G365" s="10">
        <v>0</v>
      </c>
      <c r="H365" s="10">
        <v>0</v>
      </c>
      <c r="I365" s="216">
        <v>0</v>
      </c>
    </row>
    <row r="366" spans="1:9" x14ac:dyDescent="0.25">
      <c r="A366" s="8">
        <v>2003</v>
      </c>
      <c r="B366" s="10" t="s">
        <v>892</v>
      </c>
      <c r="C366" s="97" t="s">
        <v>1096</v>
      </c>
      <c r="D366" s="214">
        <v>16995</v>
      </c>
      <c r="E366" s="215">
        <f t="shared" si="5"/>
        <v>2</v>
      </c>
      <c r="F366" s="10">
        <v>1</v>
      </c>
      <c r="G366" s="10">
        <v>0</v>
      </c>
      <c r="H366" s="10">
        <v>0</v>
      </c>
      <c r="I366" s="216">
        <v>0</v>
      </c>
    </row>
    <row r="367" spans="1:9" x14ac:dyDescent="0.25">
      <c r="A367" s="8">
        <v>2002</v>
      </c>
      <c r="B367" s="10" t="s">
        <v>892</v>
      </c>
      <c r="C367" s="97" t="s">
        <v>1096</v>
      </c>
      <c r="D367" s="214">
        <v>14995</v>
      </c>
      <c r="E367" s="215">
        <f t="shared" si="5"/>
        <v>3</v>
      </c>
      <c r="F367" s="10">
        <v>1</v>
      </c>
      <c r="G367" s="10">
        <v>0</v>
      </c>
      <c r="H367" s="10">
        <v>0</v>
      </c>
      <c r="I367" s="216">
        <v>0</v>
      </c>
    </row>
    <row r="368" spans="1:9" x14ac:dyDescent="0.25">
      <c r="A368" s="8">
        <v>2002</v>
      </c>
      <c r="B368" s="10" t="s">
        <v>892</v>
      </c>
      <c r="C368" s="97" t="s">
        <v>1097</v>
      </c>
      <c r="D368" s="214">
        <v>14727</v>
      </c>
      <c r="E368" s="215">
        <f t="shared" si="5"/>
        <v>3</v>
      </c>
      <c r="F368" s="10">
        <v>1</v>
      </c>
      <c r="G368" s="10">
        <v>0</v>
      </c>
      <c r="H368" s="10">
        <v>0</v>
      </c>
      <c r="I368" s="216">
        <v>0</v>
      </c>
    </row>
    <row r="369" spans="1:9" x14ac:dyDescent="0.25">
      <c r="A369" s="8">
        <v>2003</v>
      </c>
      <c r="B369" s="10" t="s">
        <v>892</v>
      </c>
      <c r="C369" s="97" t="s">
        <v>1098</v>
      </c>
      <c r="D369" s="214">
        <v>24988</v>
      </c>
      <c r="E369" s="215">
        <f t="shared" si="5"/>
        <v>2</v>
      </c>
      <c r="F369" s="10">
        <v>1</v>
      </c>
      <c r="G369" s="10">
        <v>0</v>
      </c>
      <c r="H369" s="10">
        <v>0</v>
      </c>
      <c r="I369" s="216">
        <v>0</v>
      </c>
    </row>
    <row r="370" spans="1:9" x14ac:dyDescent="0.25">
      <c r="A370" s="8">
        <v>2001</v>
      </c>
      <c r="B370" s="10" t="s">
        <v>892</v>
      </c>
      <c r="C370" s="97" t="s">
        <v>1098</v>
      </c>
      <c r="D370" s="214">
        <v>16975</v>
      </c>
      <c r="E370" s="215">
        <f t="shared" si="5"/>
        <v>4</v>
      </c>
      <c r="F370" s="10">
        <v>1</v>
      </c>
      <c r="G370" s="10">
        <v>0</v>
      </c>
      <c r="H370" s="10">
        <v>0</v>
      </c>
      <c r="I370" s="216">
        <v>0</v>
      </c>
    </row>
    <row r="371" spans="1:9" x14ac:dyDescent="0.25">
      <c r="A371" s="8">
        <v>2002</v>
      </c>
      <c r="B371" s="10" t="s">
        <v>892</v>
      </c>
      <c r="C371" s="97" t="s">
        <v>1098</v>
      </c>
      <c r="D371" s="214">
        <v>19450</v>
      </c>
      <c r="E371" s="215">
        <f t="shared" si="5"/>
        <v>3</v>
      </c>
      <c r="F371" s="10">
        <v>1</v>
      </c>
      <c r="G371" s="10">
        <v>0</v>
      </c>
      <c r="H371" s="10">
        <v>0</v>
      </c>
      <c r="I371" s="216">
        <v>0</v>
      </c>
    </row>
    <row r="372" spans="1:9" x14ac:dyDescent="0.25">
      <c r="A372" s="8">
        <v>2001</v>
      </c>
      <c r="B372" s="10" t="s">
        <v>892</v>
      </c>
      <c r="C372" s="97" t="s">
        <v>1098</v>
      </c>
      <c r="D372" s="214">
        <v>14995</v>
      </c>
      <c r="E372" s="215">
        <f t="shared" si="5"/>
        <v>4</v>
      </c>
      <c r="F372" s="10">
        <v>1</v>
      </c>
      <c r="G372" s="10">
        <v>0</v>
      </c>
      <c r="H372" s="10">
        <v>0</v>
      </c>
      <c r="I372" s="216">
        <v>0</v>
      </c>
    </row>
    <row r="373" spans="1:9" x14ac:dyDescent="0.25">
      <c r="A373" s="8">
        <v>2000</v>
      </c>
      <c r="B373" s="10" t="s">
        <v>892</v>
      </c>
      <c r="C373" s="97" t="s">
        <v>1098</v>
      </c>
      <c r="D373" s="214">
        <v>11995</v>
      </c>
      <c r="E373" s="215">
        <f t="shared" si="5"/>
        <v>5</v>
      </c>
      <c r="F373" s="10">
        <v>1</v>
      </c>
      <c r="G373" s="10">
        <v>0</v>
      </c>
      <c r="H373" s="10">
        <v>0</v>
      </c>
      <c r="I373" s="216">
        <v>0</v>
      </c>
    </row>
    <row r="374" spans="1:9" x14ac:dyDescent="0.25">
      <c r="A374" s="8">
        <v>2003</v>
      </c>
      <c r="B374" s="10" t="s">
        <v>892</v>
      </c>
      <c r="C374" s="97" t="s">
        <v>1099</v>
      </c>
      <c r="D374" s="214">
        <v>16995</v>
      </c>
      <c r="E374" s="215">
        <f t="shared" si="5"/>
        <v>2</v>
      </c>
      <c r="F374" s="10">
        <v>1</v>
      </c>
      <c r="G374" s="10">
        <v>0</v>
      </c>
      <c r="H374" s="10">
        <v>0</v>
      </c>
      <c r="I374" s="216">
        <v>0</v>
      </c>
    </row>
    <row r="375" spans="1:9" x14ac:dyDescent="0.25">
      <c r="A375" s="8">
        <v>2003</v>
      </c>
      <c r="B375" s="10" t="s">
        <v>892</v>
      </c>
      <c r="C375" s="97" t="s">
        <v>1099</v>
      </c>
      <c r="D375" s="214">
        <v>17995</v>
      </c>
      <c r="E375" s="215">
        <f t="shared" si="5"/>
        <v>2</v>
      </c>
      <c r="F375" s="10">
        <v>1</v>
      </c>
      <c r="G375" s="10">
        <v>0</v>
      </c>
      <c r="H375" s="10">
        <v>0</v>
      </c>
      <c r="I375" s="216">
        <v>0</v>
      </c>
    </row>
    <row r="376" spans="1:9" x14ac:dyDescent="0.25">
      <c r="A376" s="8">
        <v>2002</v>
      </c>
      <c r="B376" s="10" t="s">
        <v>892</v>
      </c>
      <c r="C376" s="97" t="s">
        <v>1100</v>
      </c>
      <c r="D376" s="214">
        <v>17995</v>
      </c>
      <c r="E376" s="215">
        <f t="shared" si="5"/>
        <v>3</v>
      </c>
      <c r="F376" s="10">
        <v>1</v>
      </c>
      <c r="G376" s="10">
        <v>0</v>
      </c>
      <c r="H376" s="10">
        <v>0</v>
      </c>
      <c r="I376" s="216">
        <v>0</v>
      </c>
    </row>
    <row r="377" spans="1:9" x14ac:dyDescent="0.25">
      <c r="A377" s="8">
        <v>2003</v>
      </c>
      <c r="B377" s="10" t="s">
        <v>892</v>
      </c>
      <c r="C377" s="97" t="s">
        <v>1101</v>
      </c>
      <c r="D377" s="214">
        <v>19862</v>
      </c>
      <c r="E377" s="215">
        <f t="shared" si="5"/>
        <v>2</v>
      </c>
      <c r="F377" s="10">
        <v>1</v>
      </c>
      <c r="G377" s="10">
        <v>0</v>
      </c>
      <c r="H377" s="10">
        <v>0</v>
      </c>
      <c r="I377" s="216">
        <v>0</v>
      </c>
    </row>
    <row r="378" spans="1:9" x14ac:dyDescent="0.25">
      <c r="A378" s="8">
        <v>1995</v>
      </c>
      <c r="B378" s="10" t="s">
        <v>892</v>
      </c>
      <c r="C378" s="97" t="s">
        <v>1102</v>
      </c>
      <c r="D378" s="214">
        <v>5195</v>
      </c>
      <c r="E378" s="215">
        <f t="shared" si="5"/>
        <v>10</v>
      </c>
      <c r="F378" s="10">
        <v>1</v>
      </c>
      <c r="G378" s="10">
        <v>0</v>
      </c>
      <c r="H378" s="10">
        <v>0</v>
      </c>
      <c r="I378" s="216">
        <v>0</v>
      </c>
    </row>
    <row r="379" spans="1:9" x14ac:dyDescent="0.25">
      <c r="A379" s="8">
        <v>2003</v>
      </c>
      <c r="B379" s="10" t="s">
        <v>892</v>
      </c>
      <c r="C379" s="97" t="s">
        <v>1103</v>
      </c>
      <c r="D379" s="214">
        <v>22991</v>
      </c>
      <c r="E379" s="215">
        <f t="shared" si="5"/>
        <v>2</v>
      </c>
      <c r="F379" s="10">
        <v>1</v>
      </c>
      <c r="G379" s="10">
        <v>0</v>
      </c>
      <c r="H379" s="10">
        <v>0</v>
      </c>
      <c r="I379" s="216">
        <v>0</v>
      </c>
    </row>
    <row r="380" spans="1:9" x14ac:dyDescent="0.25">
      <c r="A380" s="8">
        <v>2001</v>
      </c>
      <c r="B380" s="10" t="s">
        <v>892</v>
      </c>
      <c r="C380" s="97" t="s">
        <v>1104</v>
      </c>
      <c r="D380" s="214">
        <v>18500</v>
      </c>
      <c r="E380" s="215">
        <f t="shared" si="5"/>
        <v>4</v>
      </c>
      <c r="F380" s="10">
        <v>1</v>
      </c>
      <c r="G380" s="10">
        <v>0</v>
      </c>
      <c r="H380" s="10">
        <v>0</v>
      </c>
      <c r="I380" s="216">
        <v>0</v>
      </c>
    </row>
    <row r="381" spans="1:9" x14ac:dyDescent="0.25">
      <c r="A381" s="8">
        <v>2001</v>
      </c>
      <c r="B381" s="10" t="s">
        <v>892</v>
      </c>
      <c r="C381" s="97" t="s">
        <v>1104</v>
      </c>
      <c r="D381" s="214">
        <v>17500</v>
      </c>
      <c r="E381" s="215">
        <f t="shared" si="5"/>
        <v>4</v>
      </c>
      <c r="F381" s="10">
        <v>1</v>
      </c>
      <c r="G381" s="10">
        <v>0</v>
      </c>
      <c r="H381" s="10">
        <v>0</v>
      </c>
      <c r="I381" s="216">
        <v>0</v>
      </c>
    </row>
    <row r="382" spans="1:9" x14ac:dyDescent="0.25">
      <c r="A382" s="8">
        <v>2004</v>
      </c>
      <c r="B382" s="10" t="s">
        <v>889</v>
      </c>
      <c r="C382" s="97" t="s">
        <v>1105</v>
      </c>
      <c r="D382" s="214">
        <v>22990</v>
      </c>
      <c r="E382" s="215">
        <f t="shared" si="5"/>
        <v>1</v>
      </c>
      <c r="F382" s="10">
        <v>0</v>
      </c>
      <c r="G382" s="10">
        <v>0</v>
      </c>
      <c r="H382" s="10">
        <v>1</v>
      </c>
      <c r="I382" s="216">
        <v>0</v>
      </c>
    </row>
    <row r="383" spans="1:9" x14ac:dyDescent="0.25">
      <c r="A383" s="8">
        <v>2004</v>
      </c>
      <c r="B383" s="10" t="s">
        <v>889</v>
      </c>
      <c r="C383" s="97" t="s">
        <v>1105</v>
      </c>
      <c r="D383" s="214">
        <v>20980</v>
      </c>
      <c r="E383" s="215">
        <f t="shared" si="5"/>
        <v>1</v>
      </c>
      <c r="F383" s="10">
        <v>0</v>
      </c>
      <c r="G383" s="10">
        <v>0</v>
      </c>
      <c r="H383" s="10">
        <v>1</v>
      </c>
      <c r="I383" s="216">
        <v>0</v>
      </c>
    </row>
    <row r="384" spans="1:9" x14ac:dyDescent="0.25">
      <c r="A384" s="8">
        <v>2004</v>
      </c>
      <c r="B384" s="10" t="s">
        <v>889</v>
      </c>
      <c r="C384" s="97" t="s">
        <v>1106</v>
      </c>
      <c r="D384" s="214">
        <v>25988</v>
      </c>
      <c r="E384" s="215">
        <f t="shared" si="5"/>
        <v>1</v>
      </c>
      <c r="F384" s="10">
        <v>0</v>
      </c>
      <c r="G384" s="10">
        <v>0</v>
      </c>
      <c r="H384" s="10">
        <v>1</v>
      </c>
      <c r="I384" s="216">
        <v>0</v>
      </c>
    </row>
    <row r="385" spans="1:9" x14ac:dyDescent="0.25">
      <c r="A385" s="8">
        <v>2003</v>
      </c>
      <c r="B385" s="10" t="s">
        <v>892</v>
      </c>
      <c r="C385" s="97" t="s">
        <v>1107</v>
      </c>
      <c r="D385" s="214">
        <v>13900</v>
      </c>
      <c r="E385" s="215">
        <f t="shared" si="5"/>
        <v>2</v>
      </c>
      <c r="F385" s="10">
        <v>1</v>
      </c>
      <c r="G385" s="10">
        <v>0</v>
      </c>
      <c r="H385" s="10">
        <v>0</v>
      </c>
      <c r="I385" s="216">
        <v>0</v>
      </c>
    </row>
    <row r="386" spans="1:9" x14ac:dyDescent="0.25">
      <c r="A386" s="8">
        <v>2002</v>
      </c>
      <c r="B386" s="10" t="s">
        <v>828</v>
      </c>
      <c r="C386" s="97" t="s">
        <v>1108</v>
      </c>
      <c r="D386" s="214">
        <v>9995</v>
      </c>
      <c r="E386" s="215">
        <f t="shared" ref="E386:E449" si="6">2005-A386</f>
        <v>3</v>
      </c>
      <c r="F386" s="10">
        <v>1</v>
      </c>
      <c r="G386" s="10">
        <v>0</v>
      </c>
      <c r="H386" s="10">
        <v>0</v>
      </c>
      <c r="I386" s="216">
        <v>0</v>
      </c>
    </row>
    <row r="387" spans="1:9" x14ac:dyDescent="0.25">
      <c r="A387" s="8">
        <v>2002</v>
      </c>
      <c r="B387" s="10" t="s">
        <v>828</v>
      </c>
      <c r="C387" s="97" t="s">
        <v>1108</v>
      </c>
      <c r="D387" s="214">
        <v>7923</v>
      </c>
      <c r="E387" s="215">
        <f t="shared" si="6"/>
        <v>3</v>
      </c>
      <c r="F387" s="10">
        <v>1</v>
      </c>
      <c r="G387" s="10">
        <v>0</v>
      </c>
      <c r="H387" s="10">
        <v>0</v>
      </c>
      <c r="I387" s="216">
        <v>0</v>
      </c>
    </row>
    <row r="388" spans="1:9" x14ac:dyDescent="0.25">
      <c r="A388" s="8">
        <v>2002</v>
      </c>
      <c r="B388" s="10" t="s">
        <v>828</v>
      </c>
      <c r="C388" s="97" t="s">
        <v>1108</v>
      </c>
      <c r="D388" s="214">
        <v>8988</v>
      </c>
      <c r="E388" s="215">
        <f t="shared" si="6"/>
        <v>3</v>
      </c>
      <c r="F388" s="10">
        <v>1</v>
      </c>
      <c r="G388" s="10">
        <v>0</v>
      </c>
      <c r="H388" s="10">
        <v>0</v>
      </c>
      <c r="I388" s="216">
        <v>0</v>
      </c>
    </row>
    <row r="389" spans="1:9" x14ac:dyDescent="0.25">
      <c r="A389" s="8">
        <v>2002</v>
      </c>
      <c r="B389" s="10" t="s">
        <v>828</v>
      </c>
      <c r="C389" s="97" t="s">
        <v>1108</v>
      </c>
      <c r="D389" s="214">
        <v>7995</v>
      </c>
      <c r="E389" s="215">
        <f t="shared" si="6"/>
        <v>3</v>
      </c>
      <c r="F389" s="10">
        <v>1</v>
      </c>
      <c r="G389" s="10">
        <v>0</v>
      </c>
      <c r="H389" s="10">
        <v>0</v>
      </c>
      <c r="I389" s="216">
        <v>0</v>
      </c>
    </row>
    <row r="390" spans="1:9" x14ac:dyDescent="0.25">
      <c r="A390" s="8">
        <v>2002</v>
      </c>
      <c r="B390" s="10" t="s">
        <v>828</v>
      </c>
      <c r="C390" s="97" t="s">
        <v>1108</v>
      </c>
      <c r="D390" s="214">
        <v>8995</v>
      </c>
      <c r="E390" s="215">
        <f t="shared" si="6"/>
        <v>3</v>
      </c>
      <c r="F390" s="10">
        <v>1</v>
      </c>
      <c r="G390" s="10">
        <v>0</v>
      </c>
      <c r="H390" s="10">
        <v>0</v>
      </c>
      <c r="I390" s="216">
        <v>0</v>
      </c>
    </row>
    <row r="391" spans="1:9" x14ac:dyDescent="0.25">
      <c r="A391" s="8">
        <v>2001</v>
      </c>
      <c r="B391" s="10" t="s">
        <v>828</v>
      </c>
      <c r="C391" s="97" t="s">
        <v>1108</v>
      </c>
      <c r="D391" s="214">
        <v>7995</v>
      </c>
      <c r="E391" s="215">
        <f t="shared" si="6"/>
        <v>4</v>
      </c>
      <c r="F391" s="10">
        <v>1</v>
      </c>
      <c r="G391" s="10">
        <v>0</v>
      </c>
      <c r="H391" s="10">
        <v>0</v>
      </c>
      <c r="I391" s="216">
        <v>0</v>
      </c>
    </row>
    <row r="392" spans="1:9" x14ac:dyDescent="0.25">
      <c r="A392" s="8">
        <v>2001</v>
      </c>
      <c r="B392" s="10" t="s">
        <v>828</v>
      </c>
      <c r="C392" s="97" t="s">
        <v>1109</v>
      </c>
      <c r="D392" s="214">
        <v>5777</v>
      </c>
      <c r="E392" s="215">
        <f t="shared" si="6"/>
        <v>4</v>
      </c>
      <c r="F392" s="10">
        <v>1</v>
      </c>
      <c r="G392" s="10">
        <v>0</v>
      </c>
      <c r="H392" s="10">
        <v>0</v>
      </c>
      <c r="I392" s="216">
        <v>0</v>
      </c>
    </row>
    <row r="393" spans="1:9" x14ac:dyDescent="0.25">
      <c r="A393" s="8">
        <v>2002</v>
      </c>
      <c r="B393" s="10" t="s">
        <v>828</v>
      </c>
      <c r="C393" s="97" t="s">
        <v>1110</v>
      </c>
      <c r="D393" s="214">
        <v>9588</v>
      </c>
      <c r="E393" s="215">
        <f t="shared" si="6"/>
        <v>3</v>
      </c>
      <c r="F393" s="10">
        <v>1</v>
      </c>
      <c r="G393" s="10">
        <v>0</v>
      </c>
      <c r="H393" s="10">
        <v>0</v>
      </c>
      <c r="I393" s="216">
        <v>0</v>
      </c>
    </row>
    <row r="394" spans="1:9" x14ac:dyDescent="0.25">
      <c r="A394" s="8">
        <v>2002</v>
      </c>
      <c r="B394" s="10" t="s">
        <v>828</v>
      </c>
      <c r="C394" s="97" t="s">
        <v>1111</v>
      </c>
      <c r="D394" s="214">
        <v>8990</v>
      </c>
      <c r="E394" s="215">
        <f t="shared" si="6"/>
        <v>3</v>
      </c>
      <c r="F394" s="10">
        <v>1</v>
      </c>
      <c r="G394" s="10">
        <v>0</v>
      </c>
      <c r="H394" s="10">
        <v>0</v>
      </c>
      <c r="I394" s="216">
        <v>0</v>
      </c>
    </row>
    <row r="395" spans="1:9" x14ac:dyDescent="0.25">
      <c r="A395" s="8">
        <v>2002</v>
      </c>
      <c r="B395" s="10" t="s">
        <v>828</v>
      </c>
      <c r="C395" s="97" t="s">
        <v>1110</v>
      </c>
      <c r="D395" s="214">
        <v>8995</v>
      </c>
      <c r="E395" s="215">
        <f t="shared" si="6"/>
        <v>3</v>
      </c>
      <c r="F395" s="10">
        <v>1</v>
      </c>
      <c r="G395" s="10">
        <v>0</v>
      </c>
      <c r="H395" s="10">
        <v>0</v>
      </c>
      <c r="I395" s="216">
        <v>0</v>
      </c>
    </row>
    <row r="396" spans="1:9" x14ac:dyDescent="0.25">
      <c r="A396" s="8">
        <v>2002</v>
      </c>
      <c r="B396" s="10" t="s">
        <v>828</v>
      </c>
      <c r="C396" s="97" t="s">
        <v>1112</v>
      </c>
      <c r="D396" s="214">
        <v>8495</v>
      </c>
      <c r="E396" s="215">
        <f t="shared" si="6"/>
        <v>3</v>
      </c>
      <c r="F396" s="10">
        <v>1</v>
      </c>
      <c r="G396" s="10">
        <v>0</v>
      </c>
      <c r="H396" s="10">
        <v>0</v>
      </c>
      <c r="I396" s="216">
        <v>0</v>
      </c>
    </row>
    <row r="397" spans="1:9" x14ac:dyDescent="0.25">
      <c r="A397" s="8">
        <v>2001</v>
      </c>
      <c r="B397" s="10" t="s">
        <v>828</v>
      </c>
      <c r="C397" s="97" t="s">
        <v>1113</v>
      </c>
      <c r="D397" s="214">
        <v>7995</v>
      </c>
      <c r="E397" s="215">
        <f t="shared" si="6"/>
        <v>4</v>
      </c>
      <c r="F397" s="10">
        <v>1</v>
      </c>
      <c r="G397" s="10">
        <v>0</v>
      </c>
      <c r="H397" s="10">
        <v>0</v>
      </c>
      <c r="I397" s="216">
        <v>0</v>
      </c>
    </row>
    <row r="398" spans="1:9" x14ac:dyDescent="0.25">
      <c r="A398" s="8">
        <v>2002</v>
      </c>
      <c r="B398" s="10" t="s">
        <v>889</v>
      </c>
      <c r="C398" s="97" t="s">
        <v>1114</v>
      </c>
      <c r="D398" s="214">
        <v>33900</v>
      </c>
      <c r="E398" s="215">
        <f t="shared" si="6"/>
        <v>3</v>
      </c>
      <c r="F398" s="10">
        <v>1</v>
      </c>
      <c r="G398" s="10">
        <v>0</v>
      </c>
      <c r="H398" s="10">
        <v>0</v>
      </c>
      <c r="I398" s="216">
        <v>0</v>
      </c>
    </row>
    <row r="399" spans="1:9" x14ac:dyDescent="0.25">
      <c r="A399" s="8">
        <v>2001</v>
      </c>
      <c r="B399" s="10" t="s">
        <v>889</v>
      </c>
      <c r="C399" s="97" t="s">
        <v>1115</v>
      </c>
      <c r="D399" s="214">
        <v>11986</v>
      </c>
      <c r="E399" s="215">
        <f t="shared" si="6"/>
        <v>4</v>
      </c>
      <c r="F399" s="10">
        <v>1</v>
      </c>
      <c r="G399" s="10">
        <v>0</v>
      </c>
      <c r="H399" s="10">
        <v>0</v>
      </c>
      <c r="I399" s="216">
        <v>0</v>
      </c>
    </row>
    <row r="400" spans="1:9" x14ac:dyDescent="0.25">
      <c r="A400" s="8">
        <v>2002</v>
      </c>
      <c r="B400" s="10" t="s">
        <v>889</v>
      </c>
      <c r="C400" s="97" t="s">
        <v>1116</v>
      </c>
      <c r="D400" s="214">
        <v>9995</v>
      </c>
      <c r="E400" s="215">
        <f t="shared" si="6"/>
        <v>3</v>
      </c>
      <c r="F400" s="10">
        <v>1</v>
      </c>
      <c r="G400" s="10">
        <v>0</v>
      </c>
      <c r="H400" s="10">
        <v>0</v>
      </c>
      <c r="I400" s="216">
        <v>0</v>
      </c>
    </row>
    <row r="401" spans="1:9" x14ac:dyDescent="0.25">
      <c r="A401" s="8">
        <v>2003</v>
      </c>
      <c r="B401" s="10" t="s">
        <v>889</v>
      </c>
      <c r="C401" s="97" t="s">
        <v>1116</v>
      </c>
      <c r="D401" s="214">
        <v>16876</v>
      </c>
      <c r="E401" s="215">
        <f t="shared" si="6"/>
        <v>2</v>
      </c>
      <c r="F401" s="10">
        <v>1</v>
      </c>
      <c r="G401" s="10">
        <v>0</v>
      </c>
      <c r="H401" s="10">
        <v>0</v>
      </c>
      <c r="I401" s="216">
        <v>0</v>
      </c>
    </row>
    <row r="402" spans="1:9" x14ac:dyDescent="0.25">
      <c r="A402" s="8">
        <v>2001</v>
      </c>
      <c r="B402" s="10" t="s">
        <v>889</v>
      </c>
      <c r="C402" s="97" t="s">
        <v>1116</v>
      </c>
      <c r="D402" s="214">
        <v>6998</v>
      </c>
      <c r="E402" s="215">
        <f t="shared" si="6"/>
        <v>4</v>
      </c>
      <c r="F402" s="10">
        <v>1</v>
      </c>
      <c r="G402" s="10">
        <v>0</v>
      </c>
      <c r="H402" s="10">
        <v>0</v>
      </c>
      <c r="I402" s="216">
        <v>0</v>
      </c>
    </row>
    <row r="403" spans="1:9" x14ac:dyDescent="0.25">
      <c r="A403" s="8">
        <v>2002</v>
      </c>
      <c r="B403" s="10" t="s">
        <v>889</v>
      </c>
      <c r="C403" s="97" t="s">
        <v>1116</v>
      </c>
      <c r="D403" s="214">
        <v>11995</v>
      </c>
      <c r="E403" s="215">
        <f t="shared" si="6"/>
        <v>3</v>
      </c>
      <c r="F403" s="10">
        <v>1</v>
      </c>
      <c r="G403" s="10">
        <v>0</v>
      </c>
      <c r="H403" s="10">
        <v>0</v>
      </c>
      <c r="I403" s="216">
        <v>0</v>
      </c>
    </row>
    <row r="404" spans="1:9" x14ac:dyDescent="0.25">
      <c r="A404" s="8">
        <v>2002</v>
      </c>
      <c r="B404" s="10" t="s">
        <v>889</v>
      </c>
      <c r="C404" s="97" t="s">
        <v>1117</v>
      </c>
      <c r="D404" s="214">
        <v>12988</v>
      </c>
      <c r="E404" s="215">
        <f t="shared" si="6"/>
        <v>3</v>
      </c>
      <c r="F404" s="10">
        <v>1</v>
      </c>
      <c r="G404" s="10">
        <v>0</v>
      </c>
      <c r="H404" s="10">
        <v>0</v>
      </c>
      <c r="I404" s="216">
        <v>0</v>
      </c>
    </row>
    <row r="405" spans="1:9" x14ac:dyDescent="0.25">
      <c r="A405" s="8">
        <v>2001</v>
      </c>
      <c r="B405" s="10" t="s">
        <v>889</v>
      </c>
      <c r="C405" s="97" t="s">
        <v>1117</v>
      </c>
      <c r="D405" s="214">
        <v>10997</v>
      </c>
      <c r="E405" s="215">
        <f t="shared" si="6"/>
        <v>4</v>
      </c>
      <c r="F405" s="10">
        <v>1</v>
      </c>
      <c r="G405" s="10">
        <v>0</v>
      </c>
      <c r="H405" s="10">
        <v>0</v>
      </c>
      <c r="I405" s="216">
        <v>0</v>
      </c>
    </row>
    <row r="406" spans="1:9" x14ac:dyDescent="0.25">
      <c r="A406" s="8">
        <v>2001</v>
      </c>
      <c r="B406" s="10" t="s">
        <v>889</v>
      </c>
      <c r="C406" s="97" t="s">
        <v>1117</v>
      </c>
      <c r="D406" s="214">
        <v>10991</v>
      </c>
      <c r="E406" s="215">
        <f t="shared" si="6"/>
        <v>4</v>
      </c>
      <c r="F406" s="10">
        <v>1</v>
      </c>
      <c r="G406" s="10">
        <v>0</v>
      </c>
      <c r="H406" s="10">
        <v>0</v>
      </c>
      <c r="I406" s="216">
        <v>0</v>
      </c>
    </row>
    <row r="407" spans="1:9" x14ac:dyDescent="0.25">
      <c r="A407" s="8">
        <v>2002</v>
      </c>
      <c r="B407" s="10" t="s">
        <v>889</v>
      </c>
      <c r="C407" s="97" t="s">
        <v>1117</v>
      </c>
      <c r="D407" s="214">
        <v>10995</v>
      </c>
      <c r="E407" s="215">
        <f t="shared" si="6"/>
        <v>3</v>
      </c>
      <c r="F407" s="10">
        <v>1</v>
      </c>
      <c r="G407" s="10">
        <v>0</v>
      </c>
      <c r="H407" s="10">
        <v>0</v>
      </c>
      <c r="I407" s="216">
        <v>0</v>
      </c>
    </row>
    <row r="408" spans="1:9" x14ac:dyDescent="0.25">
      <c r="A408" s="8">
        <v>2003</v>
      </c>
      <c r="B408" s="10" t="s">
        <v>889</v>
      </c>
      <c r="C408" s="97" t="s">
        <v>1118</v>
      </c>
      <c r="D408" s="214">
        <v>14988</v>
      </c>
      <c r="E408" s="215">
        <f t="shared" si="6"/>
        <v>2</v>
      </c>
      <c r="F408" s="10">
        <v>1</v>
      </c>
      <c r="G408" s="10">
        <v>0</v>
      </c>
      <c r="H408" s="10">
        <v>0</v>
      </c>
      <c r="I408" s="216">
        <v>0</v>
      </c>
    </row>
    <row r="409" spans="1:9" x14ac:dyDescent="0.25">
      <c r="A409" s="8">
        <v>2001</v>
      </c>
      <c r="B409" s="10" t="s">
        <v>889</v>
      </c>
      <c r="C409" s="97" t="s">
        <v>1118</v>
      </c>
      <c r="D409" s="214">
        <v>7990</v>
      </c>
      <c r="E409" s="215">
        <f t="shared" si="6"/>
        <v>4</v>
      </c>
      <c r="F409" s="10">
        <v>1</v>
      </c>
      <c r="G409" s="10">
        <v>0</v>
      </c>
      <c r="H409" s="10">
        <v>0</v>
      </c>
      <c r="I409" s="216">
        <v>0</v>
      </c>
    </row>
    <row r="410" spans="1:9" x14ac:dyDescent="0.25">
      <c r="A410" s="8">
        <v>2002</v>
      </c>
      <c r="B410" s="10" t="s">
        <v>889</v>
      </c>
      <c r="C410" s="97" t="s">
        <v>1118</v>
      </c>
      <c r="D410" s="214">
        <v>14990</v>
      </c>
      <c r="E410" s="215">
        <f t="shared" si="6"/>
        <v>3</v>
      </c>
      <c r="F410" s="10">
        <v>1</v>
      </c>
      <c r="G410" s="10">
        <v>0</v>
      </c>
      <c r="H410" s="10">
        <v>0</v>
      </c>
      <c r="I410" s="216">
        <v>0</v>
      </c>
    </row>
    <row r="411" spans="1:9" x14ac:dyDescent="0.25">
      <c r="A411" s="8">
        <v>2002</v>
      </c>
      <c r="B411" s="10" t="s">
        <v>889</v>
      </c>
      <c r="C411" s="97" t="s">
        <v>1119</v>
      </c>
      <c r="D411" s="214">
        <v>13988</v>
      </c>
      <c r="E411" s="215">
        <f t="shared" si="6"/>
        <v>3</v>
      </c>
      <c r="F411" s="10">
        <v>1</v>
      </c>
      <c r="G411" s="10">
        <v>0</v>
      </c>
      <c r="H411" s="10">
        <v>0</v>
      </c>
      <c r="I411" s="216">
        <v>0</v>
      </c>
    </row>
    <row r="412" spans="1:9" x14ac:dyDescent="0.25">
      <c r="A412" s="8">
        <v>2002</v>
      </c>
      <c r="B412" s="10" t="s">
        <v>889</v>
      </c>
      <c r="C412" s="97" t="s">
        <v>1118</v>
      </c>
      <c r="D412" s="214">
        <v>12588</v>
      </c>
      <c r="E412" s="215">
        <f t="shared" si="6"/>
        <v>3</v>
      </c>
      <c r="F412" s="10">
        <v>1</v>
      </c>
      <c r="G412" s="10">
        <v>0</v>
      </c>
      <c r="H412" s="10">
        <v>0</v>
      </c>
      <c r="I412" s="216">
        <v>0</v>
      </c>
    </row>
    <row r="413" spans="1:9" x14ac:dyDescent="0.25">
      <c r="A413" s="8">
        <v>1999</v>
      </c>
      <c r="B413" s="10" t="s">
        <v>892</v>
      </c>
      <c r="C413" s="97" t="s">
        <v>1120</v>
      </c>
      <c r="D413" s="214">
        <v>8495</v>
      </c>
      <c r="E413" s="215">
        <f t="shared" si="6"/>
        <v>6</v>
      </c>
      <c r="F413" s="10">
        <v>0</v>
      </c>
      <c r="G413" s="10">
        <v>1</v>
      </c>
      <c r="H413" s="10">
        <v>0</v>
      </c>
      <c r="I413" s="216">
        <v>0</v>
      </c>
    </row>
    <row r="414" spans="1:9" x14ac:dyDescent="0.25">
      <c r="A414" s="8">
        <v>2002</v>
      </c>
      <c r="B414" s="10" t="s">
        <v>892</v>
      </c>
      <c r="C414" s="97" t="s">
        <v>1121</v>
      </c>
      <c r="D414" s="214">
        <v>13995</v>
      </c>
      <c r="E414" s="215">
        <f t="shared" si="6"/>
        <v>3</v>
      </c>
      <c r="F414" s="10">
        <v>0</v>
      </c>
      <c r="G414" s="10">
        <v>1</v>
      </c>
      <c r="H414" s="10">
        <v>0</v>
      </c>
      <c r="I414" s="216">
        <v>0</v>
      </c>
    </row>
    <row r="415" spans="1:9" x14ac:dyDescent="0.25">
      <c r="A415" s="8">
        <v>2002</v>
      </c>
      <c r="B415" s="10" t="s">
        <v>892</v>
      </c>
      <c r="C415" s="97" t="s">
        <v>1122</v>
      </c>
      <c r="D415" s="214">
        <v>13995</v>
      </c>
      <c r="E415" s="215">
        <f t="shared" si="6"/>
        <v>3</v>
      </c>
      <c r="F415" s="10">
        <v>0</v>
      </c>
      <c r="G415" s="10">
        <v>1</v>
      </c>
      <c r="H415" s="10">
        <v>0</v>
      </c>
      <c r="I415" s="216">
        <v>0</v>
      </c>
    </row>
    <row r="416" spans="1:9" x14ac:dyDescent="0.25">
      <c r="A416" s="8">
        <v>2003</v>
      </c>
      <c r="B416" s="10" t="s">
        <v>892</v>
      </c>
      <c r="C416" s="97" t="s">
        <v>1123</v>
      </c>
      <c r="D416" s="214">
        <v>12995</v>
      </c>
      <c r="E416" s="215">
        <f t="shared" si="6"/>
        <v>2</v>
      </c>
      <c r="F416" s="10">
        <v>0</v>
      </c>
      <c r="G416" s="10">
        <v>1</v>
      </c>
      <c r="H416" s="10">
        <v>0</v>
      </c>
      <c r="I416" s="216">
        <v>0</v>
      </c>
    </row>
    <row r="417" spans="1:9" x14ac:dyDescent="0.25">
      <c r="A417" s="8">
        <v>2001</v>
      </c>
      <c r="B417" s="10" t="s">
        <v>892</v>
      </c>
      <c r="C417" s="97" t="s">
        <v>1124</v>
      </c>
      <c r="D417" s="214">
        <v>15836</v>
      </c>
      <c r="E417" s="215">
        <f t="shared" si="6"/>
        <v>4</v>
      </c>
      <c r="F417" s="10">
        <v>0</v>
      </c>
      <c r="G417" s="10">
        <v>1</v>
      </c>
      <c r="H417" s="10">
        <v>0</v>
      </c>
      <c r="I417" s="216">
        <v>0</v>
      </c>
    </row>
    <row r="418" spans="1:9" x14ac:dyDescent="0.25">
      <c r="A418" s="8">
        <v>1999</v>
      </c>
      <c r="B418" s="10" t="s">
        <v>892</v>
      </c>
      <c r="C418" s="97" t="s">
        <v>1125</v>
      </c>
      <c r="D418" s="214">
        <v>6999</v>
      </c>
      <c r="E418" s="215">
        <f t="shared" si="6"/>
        <v>6</v>
      </c>
      <c r="F418" s="10">
        <v>0</v>
      </c>
      <c r="G418" s="10">
        <v>1</v>
      </c>
      <c r="H418" s="10">
        <v>0</v>
      </c>
      <c r="I418" s="216">
        <v>0</v>
      </c>
    </row>
    <row r="419" spans="1:9" x14ac:dyDescent="0.25">
      <c r="A419" s="8">
        <v>1999</v>
      </c>
      <c r="B419" s="10" t="s">
        <v>892</v>
      </c>
      <c r="C419" s="97" t="s">
        <v>1125</v>
      </c>
      <c r="D419" s="214">
        <v>4975</v>
      </c>
      <c r="E419" s="215">
        <f t="shared" si="6"/>
        <v>6</v>
      </c>
      <c r="F419" s="10">
        <v>0</v>
      </c>
      <c r="G419" s="10">
        <v>1</v>
      </c>
      <c r="H419" s="10">
        <v>0</v>
      </c>
      <c r="I419" s="216">
        <v>0</v>
      </c>
    </row>
    <row r="420" spans="1:9" x14ac:dyDescent="0.25">
      <c r="A420" s="8">
        <v>2003</v>
      </c>
      <c r="B420" s="10" t="s">
        <v>892</v>
      </c>
      <c r="C420" s="97" t="s">
        <v>1126</v>
      </c>
      <c r="D420" s="214">
        <v>15980</v>
      </c>
      <c r="E420" s="215">
        <f t="shared" si="6"/>
        <v>2</v>
      </c>
      <c r="F420" s="10">
        <v>0</v>
      </c>
      <c r="G420" s="10">
        <v>1</v>
      </c>
      <c r="H420" s="10">
        <v>0</v>
      </c>
      <c r="I420" s="216">
        <v>0</v>
      </c>
    </row>
    <row r="421" spans="1:9" x14ac:dyDescent="0.25">
      <c r="A421" s="8">
        <v>2003</v>
      </c>
      <c r="B421" s="10" t="s">
        <v>892</v>
      </c>
      <c r="C421" s="97" t="s">
        <v>1127</v>
      </c>
      <c r="D421" s="214">
        <v>17980</v>
      </c>
      <c r="E421" s="215">
        <f t="shared" si="6"/>
        <v>2</v>
      </c>
      <c r="F421" s="10">
        <v>0</v>
      </c>
      <c r="G421" s="10">
        <v>1</v>
      </c>
      <c r="H421" s="10">
        <v>0</v>
      </c>
      <c r="I421" s="216">
        <v>0</v>
      </c>
    </row>
    <row r="422" spans="1:9" x14ac:dyDescent="0.25">
      <c r="A422" s="8">
        <v>2003</v>
      </c>
      <c r="B422" s="10" t="s">
        <v>892</v>
      </c>
      <c r="C422" s="97" t="s">
        <v>1128</v>
      </c>
      <c r="D422" s="214">
        <v>14995</v>
      </c>
      <c r="E422" s="215">
        <f t="shared" si="6"/>
        <v>2</v>
      </c>
      <c r="F422" s="10">
        <v>0</v>
      </c>
      <c r="G422" s="10">
        <v>1</v>
      </c>
      <c r="H422" s="10">
        <v>0</v>
      </c>
      <c r="I422" s="216">
        <v>0</v>
      </c>
    </row>
    <row r="423" spans="1:9" x14ac:dyDescent="0.25">
      <c r="A423" s="8">
        <v>2003</v>
      </c>
      <c r="B423" s="10" t="s">
        <v>892</v>
      </c>
      <c r="C423" s="97" t="s">
        <v>1129</v>
      </c>
      <c r="D423" s="214">
        <v>15995</v>
      </c>
      <c r="E423" s="215">
        <f t="shared" si="6"/>
        <v>2</v>
      </c>
      <c r="F423" s="10">
        <v>0</v>
      </c>
      <c r="G423" s="10">
        <v>1</v>
      </c>
      <c r="H423" s="10">
        <v>0</v>
      </c>
      <c r="I423" s="216">
        <v>0</v>
      </c>
    </row>
    <row r="424" spans="1:9" x14ac:dyDescent="0.25">
      <c r="A424" s="8">
        <v>2002</v>
      </c>
      <c r="B424" s="10" t="s">
        <v>892</v>
      </c>
      <c r="C424" s="97" t="s">
        <v>1130</v>
      </c>
      <c r="D424" s="214">
        <v>14995</v>
      </c>
      <c r="E424" s="215">
        <f t="shared" si="6"/>
        <v>3</v>
      </c>
      <c r="F424" s="10">
        <v>0</v>
      </c>
      <c r="G424" s="10">
        <v>1</v>
      </c>
      <c r="H424" s="10">
        <v>0</v>
      </c>
      <c r="I424" s="216">
        <v>0</v>
      </c>
    </row>
    <row r="425" spans="1:9" x14ac:dyDescent="0.25">
      <c r="A425" s="8">
        <v>1999</v>
      </c>
      <c r="B425" s="10" t="s">
        <v>892</v>
      </c>
      <c r="C425" s="97" t="s">
        <v>1130</v>
      </c>
      <c r="D425" s="214">
        <v>9990</v>
      </c>
      <c r="E425" s="215">
        <f t="shared" si="6"/>
        <v>6</v>
      </c>
      <c r="F425" s="10">
        <v>0</v>
      </c>
      <c r="G425" s="10">
        <v>1</v>
      </c>
      <c r="H425" s="10">
        <v>0</v>
      </c>
      <c r="I425" s="216">
        <v>0</v>
      </c>
    </row>
    <row r="426" spans="1:9" x14ac:dyDescent="0.25">
      <c r="A426" s="8">
        <v>2002</v>
      </c>
      <c r="B426" s="10" t="s">
        <v>892</v>
      </c>
      <c r="C426" s="97" t="s">
        <v>1131</v>
      </c>
      <c r="D426" s="214">
        <v>15362</v>
      </c>
      <c r="E426" s="215">
        <f t="shared" si="6"/>
        <v>3</v>
      </c>
      <c r="F426" s="10">
        <v>0</v>
      </c>
      <c r="G426" s="10">
        <v>1</v>
      </c>
      <c r="H426" s="10">
        <v>0</v>
      </c>
      <c r="I426" s="216">
        <v>0</v>
      </c>
    </row>
    <row r="427" spans="1:9" x14ac:dyDescent="0.25">
      <c r="A427" s="8">
        <v>2002</v>
      </c>
      <c r="B427" s="10" t="s">
        <v>892</v>
      </c>
      <c r="C427" s="97" t="s">
        <v>1132</v>
      </c>
      <c r="D427" s="214">
        <v>13980</v>
      </c>
      <c r="E427" s="215">
        <f t="shared" si="6"/>
        <v>3</v>
      </c>
      <c r="F427" s="10">
        <v>0</v>
      </c>
      <c r="G427" s="10">
        <v>1</v>
      </c>
      <c r="H427" s="10">
        <v>0</v>
      </c>
      <c r="I427" s="216">
        <v>0</v>
      </c>
    </row>
    <row r="428" spans="1:9" x14ac:dyDescent="0.25">
      <c r="A428" s="8">
        <v>2002</v>
      </c>
      <c r="B428" s="10" t="s">
        <v>892</v>
      </c>
      <c r="C428" s="97" t="s">
        <v>1133</v>
      </c>
      <c r="D428" s="214">
        <v>15580</v>
      </c>
      <c r="E428" s="215">
        <f t="shared" si="6"/>
        <v>3</v>
      </c>
      <c r="F428" s="10">
        <v>0</v>
      </c>
      <c r="G428" s="10">
        <v>1</v>
      </c>
      <c r="H428" s="10">
        <v>0</v>
      </c>
      <c r="I428" s="216">
        <v>0</v>
      </c>
    </row>
    <row r="429" spans="1:9" x14ac:dyDescent="0.25">
      <c r="A429" s="8">
        <v>2002</v>
      </c>
      <c r="B429" s="10" t="s">
        <v>892</v>
      </c>
      <c r="C429" s="97" t="s">
        <v>1134</v>
      </c>
      <c r="D429" s="214">
        <v>16409</v>
      </c>
      <c r="E429" s="215">
        <f t="shared" si="6"/>
        <v>3</v>
      </c>
      <c r="F429" s="10">
        <v>0</v>
      </c>
      <c r="G429" s="10">
        <v>1</v>
      </c>
      <c r="H429" s="10">
        <v>0</v>
      </c>
      <c r="I429" s="216">
        <v>0</v>
      </c>
    </row>
    <row r="430" spans="1:9" x14ac:dyDescent="0.25">
      <c r="A430" s="8">
        <v>2000</v>
      </c>
      <c r="B430" s="10" t="s">
        <v>892</v>
      </c>
      <c r="C430" s="97" t="s">
        <v>1135</v>
      </c>
      <c r="D430" s="214">
        <v>6995</v>
      </c>
      <c r="E430" s="215">
        <f t="shared" si="6"/>
        <v>5</v>
      </c>
      <c r="F430" s="10">
        <v>0</v>
      </c>
      <c r="G430" s="10">
        <v>1</v>
      </c>
      <c r="H430" s="10">
        <v>0</v>
      </c>
      <c r="I430" s="216">
        <v>0</v>
      </c>
    </row>
    <row r="431" spans="1:9" x14ac:dyDescent="0.25">
      <c r="A431" s="8">
        <v>1998</v>
      </c>
      <c r="B431" s="10" t="s">
        <v>892</v>
      </c>
      <c r="C431" s="97" t="s">
        <v>1136</v>
      </c>
      <c r="D431" s="214">
        <v>5950</v>
      </c>
      <c r="E431" s="215">
        <f t="shared" si="6"/>
        <v>7</v>
      </c>
      <c r="F431" s="10">
        <v>0</v>
      </c>
      <c r="G431" s="10">
        <v>1</v>
      </c>
      <c r="H431" s="10">
        <v>0</v>
      </c>
      <c r="I431" s="216">
        <v>0</v>
      </c>
    </row>
    <row r="432" spans="1:9" x14ac:dyDescent="0.25">
      <c r="A432" s="8">
        <v>2000</v>
      </c>
      <c r="B432" s="10" t="s">
        <v>828</v>
      </c>
      <c r="C432" s="97" t="s">
        <v>1137</v>
      </c>
      <c r="D432" s="214">
        <v>10990</v>
      </c>
      <c r="E432" s="215">
        <f t="shared" si="6"/>
        <v>5</v>
      </c>
      <c r="F432" s="10">
        <v>0</v>
      </c>
      <c r="G432" s="10">
        <v>1</v>
      </c>
      <c r="H432" s="10">
        <v>0</v>
      </c>
      <c r="I432" s="216">
        <v>0</v>
      </c>
    </row>
    <row r="433" spans="1:9" x14ac:dyDescent="0.25">
      <c r="A433" s="8">
        <v>2002</v>
      </c>
      <c r="B433" s="10" t="s">
        <v>828</v>
      </c>
      <c r="C433" s="97" t="s">
        <v>1138</v>
      </c>
      <c r="D433" s="214">
        <v>16488</v>
      </c>
      <c r="E433" s="215">
        <f t="shared" si="6"/>
        <v>3</v>
      </c>
      <c r="F433" s="10">
        <v>0</v>
      </c>
      <c r="G433" s="10">
        <v>1</v>
      </c>
      <c r="H433" s="10">
        <v>0</v>
      </c>
      <c r="I433" s="216">
        <v>0</v>
      </c>
    </row>
    <row r="434" spans="1:9" x14ac:dyDescent="0.25">
      <c r="A434" s="8">
        <v>2003</v>
      </c>
      <c r="B434" s="10" t="s">
        <v>828</v>
      </c>
      <c r="C434" s="97" t="s">
        <v>1139</v>
      </c>
      <c r="D434" s="214">
        <v>18495</v>
      </c>
      <c r="E434" s="215">
        <f t="shared" si="6"/>
        <v>2</v>
      </c>
      <c r="F434" s="10">
        <v>0</v>
      </c>
      <c r="G434" s="10">
        <v>1</v>
      </c>
      <c r="H434" s="10">
        <v>0</v>
      </c>
      <c r="I434" s="216">
        <v>0</v>
      </c>
    </row>
    <row r="435" spans="1:9" x14ac:dyDescent="0.25">
      <c r="A435" s="8">
        <v>2001</v>
      </c>
      <c r="B435" s="10" t="s">
        <v>828</v>
      </c>
      <c r="C435" s="97" t="s">
        <v>1140</v>
      </c>
      <c r="D435" s="214">
        <v>13998</v>
      </c>
      <c r="E435" s="215">
        <f t="shared" si="6"/>
        <v>4</v>
      </c>
      <c r="F435" s="10">
        <v>0</v>
      </c>
      <c r="G435" s="10">
        <v>1</v>
      </c>
      <c r="H435" s="10">
        <v>0</v>
      </c>
      <c r="I435" s="216">
        <v>0</v>
      </c>
    </row>
    <row r="436" spans="1:9" x14ac:dyDescent="0.25">
      <c r="A436" s="8">
        <v>2000</v>
      </c>
      <c r="B436" s="10" t="s">
        <v>828</v>
      </c>
      <c r="C436" s="97" t="s">
        <v>1141</v>
      </c>
      <c r="D436" s="214">
        <v>8888</v>
      </c>
      <c r="E436" s="215">
        <f t="shared" si="6"/>
        <v>5</v>
      </c>
      <c r="F436" s="10">
        <v>0</v>
      </c>
      <c r="G436" s="10">
        <v>1</v>
      </c>
      <c r="H436" s="10">
        <v>0</v>
      </c>
      <c r="I436" s="216">
        <v>0</v>
      </c>
    </row>
    <row r="437" spans="1:9" x14ac:dyDescent="0.25">
      <c r="A437" s="8">
        <v>2000</v>
      </c>
      <c r="B437" s="10" t="s">
        <v>828</v>
      </c>
      <c r="C437" s="97" t="s">
        <v>1141</v>
      </c>
      <c r="D437" s="214">
        <v>5895</v>
      </c>
      <c r="E437" s="215">
        <f t="shared" si="6"/>
        <v>5</v>
      </c>
      <c r="F437" s="10">
        <v>0</v>
      </c>
      <c r="G437" s="10">
        <v>1</v>
      </c>
      <c r="H437" s="10">
        <v>0</v>
      </c>
      <c r="I437" s="216">
        <v>0</v>
      </c>
    </row>
    <row r="438" spans="1:9" x14ac:dyDescent="0.25">
      <c r="A438" s="8">
        <v>2000</v>
      </c>
      <c r="B438" s="10" t="s">
        <v>828</v>
      </c>
      <c r="C438" s="97" t="s">
        <v>1141</v>
      </c>
      <c r="D438" s="214">
        <v>5995</v>
      </c>
      <c r="E438" s="215">
        <f t="shared" si="6"/>
        <v>5</v>
      </c>
      <c r="F438" s="10">
        <v>0</v>
      </c>
      <c r="G438" s="10">
        <v>1</v>
      </c>
      <c r="H438" s="10">
        <v>0</v>
      </c>
      <c r="I438" s="216">
        <v>0</v>
      </c>
    </row>
    <row r="439" spans="1:9" x14ac:dyDescent="0.25">
      <c r="A439" s="8">
        <v>2003</v>
      </c>
      <c r="B439" s="10" t="s">
        <v>828</v>
      </c>
      <c r="C439" s="97" t="s">
        <v>1142</v>
      </c>
      <c r="D439" s="214">
        <v>17995</v>
      </c>
      <c r="E439" s="215">
        <f t="shared" si="6"/>
        <v>2</v>
      </c>
      <c r="F439" s="10">
        <v>0</v>
      </c>
      <c r="G439" s="10">
        <v>1</v>
      </c>
      <c r="H439" s="10">
        <v>0</v>
      </c>
      <c r="I439" s="216">
        <v>0</v>
      </c>
    </row>
    <row r="440" spans="1:9" x14ac:dyDescent="0.25">
      <c r="A440" s="8">
        <v>2002</v>
      </c>
      <c r="B440" s="10" t="s">
        <v>828</v>
      </c>
      <c r="C440" s="97" t="s">
        <v>1143</v>
      </c>
      <c r="D440" s="214">
        <v>16988</v>
      </c>
      <c r="E440" s="215">
        <f t="shared" si="6"/>
        <v>3</v>
      </c>
      <c r="F440" s="10">
        <v>0</v>
      </c>
      <c r="G440" s="10">
        <v>1</v>
      </c>
      <c r="H440" s="10">
        <v>0</v>
      </c>
      <c r="I440" s="216">
        <v>0</v>
      </c>
    </row>
    <row r="441" spans="1:9" x14ac:dyDescent="0.25">
      <c r="A441" s="8">
        <v>2003</v>
      </c>
      <c r="B441" s="10" t="s">
        <v>828</v>
      </c>
      <c r="C441" s="97" t="s">
        <v>1143</v>
      </c>
      <c r="D441" s="214">
        <v>18995</v>
      </c>
      <c r="E441" s="215">
        <f t="shared" si="6"/>
        <v>2</v>
      </c>
      <c r="F441" s="10">
        <v>0</v>
      </c>
      <c r="G441" s="10">
        <v>1</v>
      </c>
      <c r="H441" s="10">
        <v>0</v>
      </c>
      <c r="I441" s="216">
        <v>0</v>
      </c>
    </row>
    <row r="442" spans="1:9" x14ac:dyDescent="0.25">
      <c r="A442" s="8">
        <v>1999</v>
      </c>
      <c r="B442" s="10" t="s">
        <v>828</v>
      </c>
      <c r="C442" s="97" t="s">
        <v>1144</v>
      </c>
      <c r="D442" s="214">
        <v>6990</v>
      </c>
      <c r="E442" s="215">
        <f t="shared" si="6"/>
        <v>6</v>
      </c>
      <c r="F442" s="10">
        <v>0</v>
      </c>
      <c r="G442" s="10">
        <v>1</v>
      </c>
      <c r="H442" s="10">
        <v>0</v>
      </c>
      <c r="I442" s="216">
        <v>0</v>
      </c>
    </row>
    <row r="443" spans="1:9" x14ac:dyDescent="0.25">
      <c r="A443" s="8">
        <v>2001</v>
      </c>
      <c r="B443" s="10" t="s">
        <v>828</v>
      </c>
      <c r="C443" s="97" t="s">
        <v>1144</v>
      </c>
      <c r="D443" s="214">
        <v>8500</v>
      </c>
      <c r="E443" s="215">
        <f t="shared" si="6"/>
        <v>4</v>
      </c>
      <c r="F443" s="10">
        <v>0</v>
      </c>
      <c r="G443" s="10">
        <v>1</v>
      </c>
      <c r="H443" s="10">
        <v>0</v>
      </c>
      <c r="I443" s="216">
        <v>0</v>
      </c>
    </row>
    <row r="444" spans="1:9" x14ac:dyDescent="0.25">
      <c r="A444" s="8">
        <v>2001</v>
      </c>
      <c r="B444" s="10" t="s">
        <v>828</v>
      </c>
      <c r="C444" s="97" t="s">
        <v>1144</v>
      </c>
      <c r="D444" s="214">
        <v>9595</v>
      </c>
      <c r="E444" s="215">
        <f t="shared" si="6"/>
        <v>4</v>
      </c>
      <c r="F444" s="10">
        <v>0</v>
      </c>
      <c r="G444" s="10">
        <v>1</v>
      </c>
      <c r="H444" s="10">
        <v>0</v>
      </c>
      <c r="I444" s="216">
        <v>0</v>
      </c>
    </row>
    <row r="445" spans="1:9" x14ac:dyDescent="0.25">
      <c r="A445" s="8">
        <v>2000</v>
      </c>
      <c r="B445" s="10" t="s">
        <v>828</v>
      </c>
      <c r="C445" s="97" t="s">
        <v>1144</v>
      </c>
      <c r="D445" s="214">
        <v>9488</v>
      </c>
      <c r="E445" s="215">
        <f t="shared" si="6"/>
        <v>5</v>
      </c>
      <c r="F445" s="10">
        <v>0</v>
      </c>
      <c r="G445" s="10">
        <v>1</v>
      </c>
      <c r="H445" s="10">
        <v>0</v>
      </c>
      <c r="I445" s="216">
        <v>0</v>
      </c>
    </row>
    <row r="446" spans="1:9" x14ac:dyDescent="0.25">
      <c r="A446" s="8">
        <v>2002</v>
      </c>
      <c r="B446" s="10" t="s">
        <v>828</v>
      </c>
      <c r="C446" s="97" t="s">
        <v>1145</v>
      </c>
      <c r="D446" s="214">
        <v>13995</v>
      </c>
      <c r="E446" s="215">
        <f t="shared" si="6"/>
        <v>3</v>
      </c>
      <c r="F446" s="10">
        <v>0</v>
      </c>
      <c r="G446" s="10">
        <v>1</v>
      </c>
      <c r="H446" s="10">
        <v>0</v>
      </c>
      <c r="I446" s="216">
        <v>0</v>
      </c>
    </row>
    <row r="447" spans="1:9" x14ac:dyDescent="0.25">
      <c r="A447" s="8">
        <v>2002</v>
      </c>
      <c r="B447" s="10" t="s">
        <v>828</v>
      </c>
      <c r="C447" s="97" t="s">
        <v>1146</v>
      </c>
      <c r="D447" s="214">
        <v>14995</v>
      </c>
      <c r="E447" s="215">
        <f t="shared" si="6"/>
        <v>3</v>
      </c>
      <c r="F447" s="10">
        <v>0</v>
      </c>
      <c r="G447" s="10">
        <v>1</v>
      </c>
      <c r="H447" s="10">
        <v>0</v>
      </c>
      <c r="I447" s="216">
        <v>0</v>
      </c>
    </row>
    <row r="448" spans="1:9" x14ac:dyDescent="0.25">
      <c r="A448" s="8">
        <v>2002</v>
      </c>
      <c r="B448" s="10" t="s">
        <v>889</v>
      </c>
      <c r="C448" s="97" t="s">
        <v>1147</v>
      </c>
      <c r="D448" s="214">
        <v>7995</v>
      </c>
      <c r="E448" s="215">
        <f t="shared" si="6"/>
        <v>3</v>
      </c>
      <c r="F448" s="10">
        <v>1</v>
      </c>
      <c r="G448" s="10">
        <v>0</v>
      </c>
      <c r="H448" s="10">
        <v>0</v>
      </c>
      <c r="I448" s="216">
        <v>0</v>
      </c>
    </row>
    <row r="449" spans="1:9" x14ac:dyDescent="0.25">
      <c r="A449" s="8">
        <v>2004</v>
      </c>
      <c r="B449" s="10" t="s">
        <v>889</v>
      </c>
      <c r="C449" s="97" t="s">
        <v>1147</v>
      </c>
      <c r="D449" s="214">
        <v>12999</v>
      </c>
      <c r="E449" s="215">
        <f t="shared" si="6"/>
        <v>1</v>
      </c>
      <c r="F449" s="10">
        <v>1</v>
      </c>
      <c r="G449" s="10">
        <v>0</v>
      </c>
      <c r="H449" s="10">
        <v>0</v>
      </c>
      <c r="I449" s="216">
        <v>0</v>
      </c>
    </row>
    <row r="450" spans="1:9" x14ac:dyDescent="0.25">
      <c r="A450" s="8">
        <v>2001</v>
      </c>
      <c r="B450" s="10" t="s">
        <v>889</v>
      </c>
      <c r="C450" s="97" t="s">
        <v>1148</v>
      </c>
      <c r="D450" s="214">
        <v>11975</v>
      </c>
      <c r="E450" s="215">
        <f t="shared" ref="E450:E513" si="7">2005-A450</f>
        <v>4</v>
      </c>
      <c r="F450" s="10">
        <v>1</v>
      </c>
      <c r="G450" s="10">
        <v>0</v>
      </c>
      <c r="H450" s="10">
        <v>0</v>
      </c>
      <c r="I450" s="216">
        <v>0</v>
      </c>
    </row>
    <row r="451" spans="1:9" x14ac:dyDescent="0.25">
      <c r="A451" s="8">
        <v>1998</v>
      </c>
      <c r="B451" s="10" t="s">
        <v>889</v>
      </c>
      <c r="C451" s="97" t="s">
        <v>1148</v>
      </c>
      <c r="D451" s="214">
        <v>5995</v>
      </c>
      <c r="E451" s="215">
        <f t="shared" si="7"/>
        <v>7</v>
      </c>
      <c r="F451" s="10">
        <v>1</v>
      </c>
      <c r="G451" s="10">
        <v>0</v>
      </c>
      <c r="H451" s="10">
        <v>0</v>
      </c>
      <c r="I451" s="216">
        <v>0</v>
      </c>
    </row>
    <row r="452" spans="1:9" x14ac:dyDescent="0.25">
      <c r="A452" s="8">
        <v>2000</v>
      </c>
      <c r="B452" s="10" t="s">
        <v>889</v>
      </c>
      <c r="C452" s="97" t="s">
        <v>1148</v>
      </c>
      <c r="D452" s="214">
        <v>9995</v>
      </c>
      <c r="E452" s="215">
        <f t="shared" si="7"/>
        <v>5</v>
      </c>
      <c r="F452" s="10">
        <v>1</v>
      </c>
      <c r="G452" s="10">
        <v>0</v>
      </c>
      <c r="H452" s="10">
        <v>0</v>
      </c>
      <c r="I452" s="216">
        <v>0</v>
      </c>
    </row>
    <row r="453" spans="1:9" x14ac:dyDescent="0.25">
      <c r="A453" s="8">
        <v>1999</v>
      </c>
      <c r="B453" s="10" t="s">
        <v>889</v>
      </c>
      <c r="C453" s="97" t="s">
        <v>1149</v>
      </c>
      <c r="D453" s="214">
        <v>8995</v>
      </c>
      <c r="E453" s="215">
        <f t="shared" si="7"/>
        <v>6</v>
      </c>
      <c r="F453" s="10">
        <v>1</v>
      </c>
      <c r="G453" s="10">
        <v>0</v>
      </c>
      <c r="H453" s="10">
        <v>0</v>
      </c>
      <c r="I453" s="216">
        <v>0</v>
      </c>
    </row>
    <row r="454" spans="1:9" x14ac:dyDescent="0.25">
      <c r="A454" s="8">
        <v>2000</v>
      </c>
      <c r="B454" s="10" t="s">
        <v>889</v>
      </c>
      <c r="C454" s="97" t="s">
        <v>1150</v>
      </c>
      <c r="D454" s="214">
        <v>9995</v>
      </c>
      <c r="E454" s="215">
        <f t="shared" si="7"/>
        <v>5</v>
      </c>
      <c r="F454" s="10">
        <v>1</v>
      </c>
      <c r="G454" s="10">
        <v>0</v>
      </c>
      <c r="H454" s="10">
        <v>0</v>
      </c>
      <c r="I454" s="216">
        <v>0</v>
      </c>
    </row>
    <row r="455" spans="1:9" x14ac:dyDescent="0.25">
      <c r="A455" s="8">
        <v>2001</v>
      </c>
      <c r="B455" s="10" t="s">
        <v>889</v>
      </c>
      <c r="C455" s="97" t="s">
        <v>1151</v>
      </c>
      <c r="D455" s="214">
        <v>15995</v>
      </c>
      <c r="E455" s="215">
        <f t="shared" si="7"/>
        <v>4</v>
      </c>
      <c r="F455" s="10">
        <v>1</v>
      </c>
      <c r="G455" s="10">
        <v>0</v>
      </c>
      <c r="H455" s="10">
        <v>0</v>
      </c>
      <c r="I455" s="216">
        <v>0</v>
      </c>
    </row>
    <row r="456" spans="1:9" x14ac:dyDescent="0.25">
      <c r="A456" s="8">
        <v>2001</v>
      </c>
      <c r="B456" s="10" t="s">
        <v>889</v>
      </c>
      <c r="C456" s="97" t="s">
        <v>1151</v>
      </c>
      <c r="D456" s="214">
        <v>15995</v>
      </c>
      <c r="E456" s="215">
        <f t="shared" si="7"/>
        <v>4</v>
      </c>
      <c r="F456" s="10">
        <v>1</v>
      </c>
      <c r="G456" s="10">
        <v>0</v>
      </c>
      <c r="H456" s="10">
        <v>0</v>
      </c>
      <c r="I456" s="216">
        <v>0</v>
      </c>
    </row>
    <row r="457" spans="1:9" x14ac:dyDescent="0.25">
      <c r="A457" s="8">
        <v>2002</v>
      </c>
      <c r="B457" s="10" t="s">
        <v>889</v>
      </c>
      <c r="C457" s="97" t="s">
        <v>1152</v>
      </c>
      <c r="D457" s="214">
        <v>10886</v>
      </c>
      <c r="E457" s="215">
        <f t="shared" si="7"/>
        <v>3</v>
      </c>
      <c r="F457" s="10">
        <v>1</v>
      </c>
      <c r="G457" s="10">
        <v>0</v>
      </c>
      <c r="H457" s="10">
        <v>0</v>
      </c>
      <c r="I457" s="216">
        <v>0</v>
      </c>
    </row>
    <row r="458" spans="1:9" x14ac:dyDescent="0.25">
      <c r="A458" s="8">
        <v>2001</v>
      </c>
      <c r="B458" s="10" t="s">
        <v>889</v>
      </c>
      <c r="C458" s="97" t="s">
        <v>1152</v>
      </c>
      <c r="D458" s="214">
        <v>6995</v>
      </c>
      <c r="E458" s="215">
        <f t="shared" si="7"/>
        <v>4</v>
      </c>
      <c r="F458" s="10">
        <v>1</v>
      </c>
      <c r="G458" s="10">
        <v>0</v>
      </c>
      <c r="H458" s="10">
        <v>0</v>
      </c>
      <c r="I458" s="216">
        <v>0</v>
      </c>
    </row>
    <row r="459" spans="1:9" x14ac:dyDescent="0.25">
      <c r="A459" s="8">
        <v>2002</v>
      </c>
      <c r="B459" s="10" t="s">
        <v>889</v>
      </c>
      <c r="C459" s="97" t="s">
        <v>1152</v>
      </c>
      <c r="D459" s="214">
        <v>9990</v>
      </c>
      <c r="E459" s="215">
        <f t="shared" si="7"/>
        <v>3</v>
      </c>
      <c r="F459" s="10">
        <v>1</v>
      </c>
      <c r="G459" s="10">
        <v>0</v>
      </c>
      <c r="H459" s="10">
        <v>0</v>
      </c>
      <c r="I459" s="216">
        <v>0</v>
      </c>
    </row>
    <row r="460" spans="1:9" x14ac:dyDescent="0.25">
      <c r="A460" s="8">
        <v>2002</v>
      </c>
      <c r="B460" s="10" t="s">
        <v>889</v>
      </c>
      <c r="C460" s="97" t="s">
        <v>1152</v>
      </c>
      <c r="D460" s="214">
        <v>9990</v>
      </c>
      <c r="E460" s="215">
        <f t="shared" si="7"/>
        <v>3</v>
      </c>
      <c r="F460" s="10">
        <v>1</v>
      </c>
      <c r="G460" s="10">
        <v>0</v>
      </c>
      <c r="H460" s="10">
        <v>0</v>
      </c>
      <c r="I460" s="216">
        <v>0</v>
      </c>
    </row>
    <row r="461" spans="1:9" x14ac:dyDescent="0.25">
      <c r="A461" s="8">
        <v>2003</v>
      </c>
      <c r="B461" s="10" t="s">
        <v>889</v>
      </c>
      <c r="C461" s="97" t="s">
        <v>1153</v>
      </c>
      <c r="D461" s="214">
        <v>12976</v>
      </c>
      <c r="E461" s="215">
        <f t="shared" si="7"/>
        <v>2</v>
      </c>
      <c r="F461" s="10">
        <v>1</v>
      </c>
      <c r="G461" s="10">
        <v>0</v>
      </c>
      <c r="H461" s="10">
        <v>0</v>
      </c>
      <c r="I461" s="216">
        <v>0</v>
      </c>
    </row>
    <row r="462" spans="1:9" x14ac:dyDescent="0.25">
      <c r="A462" s="8">
        <v>2004</v>
      </c>
      <c r="B462" s="10" t="s">
        <v>889</v>
      </c>
      <c r="C462" s="97" t="s">
        <v>1154</v>
      </c>
      <c r="D462" s="214">
        <v>16995</v>
      </c>
      <c r="E462" s="215">
        <f t="shared" si="7"/>
        <v>1</v>
      </c>
      <c r="F462" s="10">
        <v>1</v>
      </c>
      <c r="G462" s="10">
        <v>0</v>
      </c>
      <c r="H462" s="10">
        <v>0</v>
      </c>
      <c r="I462" s="216">
        <v>0</v>
      </c>
    </row>
    <row r="463" spans="1:9" x14ac:dyDescent="0.25">
      <c r="A463" s="8">
        <v>2002</v>
      </c>
      <c r="B463" s="10" t="s">
        <v>889</v>
      </c>
      <c r="C463" s="97" t="s">
        <v>1155</v>
      </c>
      <c r="D463" s="214">
        <v>8990</v>
      </c>
      <c r="E463" s="215">
        <f t="shared" si="7"/>
        <v>3</v>
      </c>
      <c r="F463" s="10">
        <v>1</v>
      </c>
      <c r="G463" s="10">
        <v>0</v>
      </c>
      <c r="H463" s="10">
        <v>0</v>
      </c>
      <c r="I463" s="216">
        <v>0</v>
      </c>
    </row>
    <row r="464" spans="1:9" x14ac:dyDescent="0.25">
      <c r="A464" s="8">
        <v>2001</v>
      </c>
      <c r="B464" s="10" t="s">
        <v>889</v>
      </c>
      <c r="C464" s="97" t="s">
        <v>1156</v>
      </c>
      <c r="D464" s="214">
        <v>14950</v>
      </c>
      <c r="E464" s="215">
        <f t="shared" si="7"/>
        <v>4</v>
      </c>
      <c r="F464" s="10">
        <v>1</v>
      </c>
      <c r="G464" s="10">
        <v>0</v>
      </c>
      <c r="H464" s="10">
        <v>0</v>
      </c>
      <c r="I464" s="216">
        <v>0</v>
      </c>
    </row>
    <row r="465" spans="1:9" x14ac:dyDescent="0.25">
      <c r="A465" s="8">
        <v>2001</v>
      </c>
      <c r="B465" s="10" t="s">
        <v>889</v>
      </c>
      <c r="C465" s="97" t="s">
        <v>1157</v>
      </c>
      <c r="D465" s="214">
        <v>13995</v>
      </c>
      <c r="E465" s="215">
        <f t="shared" si="7"/>
        <v>4</v>
      </c>
      <c r="F465" s="10">
        <v>1</v>
      </c>
      <c r="G465" s="10">
        <v>0</v>
      </c>
      <c r="H465" s="10">
        <v>0</v>
      </c>
      <c r="I465" s="216">
        <v>0</v>
      </c>
    </row>
    <row r="466" spans="1:9" x14ac:dyDescent="0.25">
      <c r="A466" s="8">
        <v>2004</v>
      </c>
      <c r="B466" s="10" t="s">
        <v>889</v>
      </c>
      <c r="C466" s="97" t="s">
        <v>1158</v>
      </c>
      <c r="D466" s="214">
        <v>11995</v>
      </c>
      <c r="E466" s="215">
        <f t="shared" si="7"/>
        <v>1</v>
      </c>
      <c r="F466" s="10">
        <v>1</v>
      </c>
      <c r="G466" s="10">
        <v>0</v>
      </c>
      <c r="H466" s="10">
        <v>0</v>
      </c>
      <c r="I466" s="216">
        <v>0</v>
      </c>
    </row>
    <row r="467" spans="1:9" x14ac:dyDescent="0.25">
      <c r="A467" s="8">
        <v>2004</v>
      </c>
      <c r="B467" s="10" t="s">
        <v>889</v>
      </c>
      <c r="C467" s="97" t="s">
        <v>1159</v>
      </c>
      <c r="D467" s="214">
        <v>17995</v>
      </c>
      <c r="E467" s="215">
        <f t="shared" si="7"/>
        <v>1</v>
      </c>
      <c r="F467" s="10">
        <v>1</v>
      </c>
      <c r="G467" s="10">
        <v>0</v>
      </c>
      <c r="H467" s="10">
        <v>0</v>
      </c>
      <c r="I467" s="216">
        <v>0</v>
      </c>
    </row>
    <row r="468" spans="1:9" x14ac:dyDescent="0.25">
      <c r="A468" s="8">
        <v>2004</v>
      </c>
      <c r="B468" s="10" t="s">
        <v>828</v>
      </c>
      <c r="C468" s="97" t="s">
        <v>1160</v>
      </c>
      <c r="D468" s="214">
        <v>16796</v>
      </c>
      <c r="E468" s="215">
        <f t="shared" si="7"/>
        <v>1</v>
      </c>
      <c r="F468" s="10">
        <v>0</v>
      </c>
      <c r="G468" s="10">
        <v>1</v>
      </c>
      <c r="H468" s="10">
        <v>0</v>
      </c>
      <c r="I468" s="216">
        <v>0</v>
      </c>
    </row>
    <row r="469" spans="1:9" x14ac:dyDescent="0.25">
      <c r="A469" s="8">
        <v>2000</v>
      </c>
      <c r="B469" s="10" t="s">
        <v>828</v>
      </c>
      <c r="C469" s="97" t="s">
        <v>1161</v>
      </c>
      <c r="D469" s="214">
        <v>10990</v>
      </c>
      <c r="E469" s="215">
        <f t="shared" si="7"/>
        <v>5</v>
      </c>
      <c r="F469" s="10">
        <v>0</v>
      </c>
      <c r="G469" s="10">
        <v>1</v>
      </c>
      <c r="H469" s="10">
        <v>0</v>
      </c>
      <c r="I469" s="216">
        <v>0</v>
      </c>
    </row>
    <row r="470" spans="1:9" x14ac:dyDescent="0.25">
      <c r="A470" s="8">
        <v>2003</v>
      </c>
      <c r="B470" s="10" t="s">
        <v>828</v>
      </c>
      <c r="C470" s="97" t="s">
        <v>1162</v>
      </c>
      <c r="D470" s="214">
        <v>20995</v>
      </c>
      <c r="E470" s="215">
        <f t="shared" si="7"/>
        <v>2</v>
      </c>
      <c r="F470" s="10">
        <v>0</v>
      </c>
      <c r="G470" s="10">
        <v>1</v>
      </c>
      <c r="H470" s="10">
        <v>0</v>
      </c>
      <c r="I470" s="216">
        <v>0</v>
      </c>
    </row>
    <row r="471" spans="1:9" x14ac:dyDescent="0.25">
      <c r="A471" s="8">
        <v>2003</v>
      </c>
      <c r="B471" s="10" t="s">
        <v>828</v>
      </c>
      <c r="C471" s="97" t="s">
        <v>1163</v>
      </c>
      <c r="D471" s="214">
        <v>19995</v>
      </c>
      <c r="E471" s="215">
        <f t="shared" si="7"/>
        <v>2</v>
      </c>
      <c r="F471" s="10">
        <v>0</v>
      </c>
      <c r="G471" s="10">
        <v>1</v>
      </c>
      <c r="H471" s="10">
        <v>0</v>
      </c>
      <c r="I471" s="216">
        <v>0</v>
      </c>
    </row>
    <row r="472" spans="1:9" x14ac:dyDescent="0.25">
      <c r="A472" s="8">
        <v>2002</v>
      </c>
      <c r="B472" s="10" t="s">
        <v>828</v>
      </c>
      <c r="C472" s="97" t="s">
        <v>1164</v>
      </c>
      <c r="D472" s="214">
        <v>11995</v>
      </c>
      <c r="E472" s="215">
        <f t="shared" si="7"/>
        <v>3</v>
      </c>
      <c r="F472" s="10">
        <v>0</v>
      </c>
      <c r="G472" s="10">
        <v>1</v>
      </c>
      <c r="H472" s="10">
        <v>0</v>
      </c>
      <c r="I472" s="216">
        <v>0</v>
      </c>
    </row>
    <row r="473" spans="1:9" x14ac:dyDescent="0.25">
      <c r="A473" s="8">
        <v>2001</v>
      </c>
      <c r="B473" s="10" t="s">
        <v>828</v>
      </c>
      <c r="C473" s="97" t="s">
        <v>1165</v>
      </c>
      <c r="D473" s="214">
        <v>16922</v>
      </c>
      <c r="E473" s="215">
        <f t="shared" si="7"/>
        <v>4</v>
      </c>
      <c r="F473" s="10">
        <v>0</v>
      </c>
      <c r="G473" s="10">
        <v>1</v>
      </c>
      <c r="H473" s="10">
        <v>0</v>
      </c>
      <c r="I473" s="216">
        <v>0</v>
      </c>
    </row>
    <row r="474" spans="1:9" x14ac:dyDescent="0.25">
      <c r="A474" s="8">
        <v>2000</v>
      </c>
      <c r="B474" s="10" t="s">
        <v>828</v>
      </c>
      <c r="C474" s="97" t="s">
        <v>1166</v>
      </c>
      <c r="D474" s="214">
        <v>14990</v>
      </c>
      <c r="E474" s="215">
        <f t="shared" si="7"/>
        <v>5</v>
      </c>
      <c r="F474" s="10">
        <v>0</v>
      </c>
      <c r="G474" s="10">
        <v>1</v>
      </c>
      <c r="H474" s="10">
        <v>0</v>
      </c>
      <c r="I474" s="216">
        <v>0</v>
      </c>
    </row>
    <row r="475" spans="1:9" x14ac:dyDescent="0.25">
      <c r="A475" s="8">
        <v>2002</v>
      </c>
      <c r="B475" s="10" t="s">
        <v>828</v>
      </c>
      <c r="C475" s="97" t="s">
        <v>1166</v>
      </c>
      <c r="D475" s="214">
        <v>17999</v>
      </c>
      <c r="E475" s="215">
        <f t="shared" si="7"/>
        <v>3</v>
      </c>
      <c r="F475" s="10">
        <v>0</v>
      </c>
      <c r="G475" s="10">
        <v>1</v>
      </c>
      <c r="H475" s="10">
        <v>0</v>
      </c>
      <c r="I475" s="216">
        <v>0</v>
      </c>
    </row>
    <row r="476" spans="1:9" x14ac:dyDescent="0.25">
      <c r="A476" s="8">
        <v>2002</v>
      </c>
      <c r="B476" s="10" t="s">
        <v>828</v>
      </c>
      <c r="C476" s="97" t="s">
        <v>1167</v>
      </c>
      <c r="D476" s="214">
        <v>17995</v>
      </c>
      <c r="E476" s="215">
        <f t="shared" si="7"/>
        <v>3</v>
      </c>
      <c r="F476" s="10">
        <v>0</v>
      </c>
      <c r="G476" s="10">
        <v>1</v>
      </c>
      <c r="H476" s="10">
        <v>0</v>
      </c>
      <c r="I476" s="216">
        <v>0</v>
      </c>
    </row>
    <row r="477" spans="1:9" x14ac:dyDescent="0.25">
      <c r="A477" s="8">
        <v>2000</v>
      </c>
      <c r="B477" s="10" t="s">
        <v>828</v>
      </c>
      <c r="C477" s="97" t="s">
        <v>1168</v>
      </c>
      <c r="D477" s="214">
        <v>13877</v>
      </c>
      <c r="E477" s="215">
        <f t="shared" si="7"/>
        <v>5</v>
      </c>
      <c r="F477" s="10">
        <v>0</v>
      </c>
      <c r="G477" s="10">
        <v>1</v>
      </c>
      <c r="H477" s="10">
        <v>0</v>
      </c>
      <c r="I477" s="216">
        <v>0</v>
      </c>
    </row>
    <row r="478" spans="1:9" x14ac:dyDescent="0.25">
      <c r="A478" s="8">
        <v>2002</v>
      </c>
      <c r="B478" s="10" t="s">
        <v>828</v>
      </c>
      <c r="C478" s="97" t="s">
        <v>1169</v>
      </c>
      <c r="D478" s="214">
        <v>18975</v>
      </c>
      <c r="E478" s="215">
        <f t="shared" si="7"/>
        <v>3</v>
      </c>
      <c r="F478" s="10">
        <v>0</v>
      </c>
      <c r="G478" s="10">
        <v>1</v>
      </c>
      <c r="H478" s="10">
        <v>0</v>
      </c>
      <c r="I478" s="216">
        <v>0</v>
      </c>
    </row>
    <row r="479" spans="1:9" x14ac:dyDescent="0.25">
      <c r="A479" s="8">
        <v>2002</v>
      </c>
      <c r="B479" s="10" t="s">
        <v>828</v>
      </c>
      <c r="C479" s="97" t="s">
        <v>1170</v>
      </c>
      <c r="D479" s="214">
        <v>17995</v>
      </c>
      <c r="E479" s="215">
        <f t="shared" si="7"/>
        <v>3</v>
      </c>
      <c r="F479" s="10">
        <v>0</v>
      </c>
      <c r="G479" s="10">
        <v>1</v>
      </c>
      <c r="H479" s="10">
        <v>0</v>
      </c>
      <c r="I479" s="216">
        <v>0</v>
      </c>
    </row>
    <row r="480" spans="1:9" x14ac:dyDescent="0.25">
      <c r="A480" s="8">
        <v>1995</v>
      </c>
      <c r="B480" s="10" t="s">
        <v>828</v>
      </c>
      <c r="C480" s="97" t="s">
        <v>1171</v>
      </c>
      <c r="D480" s="214">
        <v>11495</v>
      </c>
      <c r="E480" s="215">
        <f t="shared" si="7"/>
        <v>10</v>
      </c>
      <c r="F480" s="10">
        <v>0</v>
      </c>
      <c r="G480" s="10">
        <v>1</v>
      </c>
      <c r="H480" s="10">
        <v>0</v>
      </c>
      <c r="I480" s="216">
        <v>0</v>
      </c>
    </row>
    <row r="481" spans="1:9" x14ac:dyDescent="0.25">
      <c r="A481" s="8">
        <v>2001</v>
      </c>
      <c r="B481" s="10" t="s">
        <v>828</v>
      </c>
      <c r="C481" s="97" t="s">
        <v>1172</v>
      </c>
      <c r="D481" s="214">
        <v>23998</v>
      </c>
      <c r="E481" s="215">
        <f t="shared" si="7"/>
        <v>4</v>
      </c>
      <c r="F481" s="10">
        <v>0</v>
      </c>
      <c r="G481" s="10">
        <v>1</v>
      </c>
      <c r="H481" s="10">
        <v>0</v>
      </c>
      <c r="I481" s="216">
        <v>0</v>
      </c>
    </row>
    <row r="482" spans="1:9" x14ac:dyDescent="0.25">
      <c r="A482" s="8">
        <v>2003</v>
      </c>
      <c r="B482" s="10" t="s">
        <v>828</v>
      </c>
      <c r="C482" s="97" t="s">
        <v>1173</v>
      </c>
      <c r="D482" s="214">
        <v>24995</v>
      </c>
      <c r="E482" s="215">
        <f t="shared" si="7"/>
        <v>2</v>
      </c>
      <c r="F482" s="10">
        <v>0</v>
      </c>
      <c r="G482" s="10">
        <v>1</v>
      </c>
      <c r="H482" s="10">
        <v>0</v>
      </c>
      <c r="I482" s="216">
        <v>0</v>
      </c>
    </row>
    <row r="483" spans="1:9" x14ac:dyDescent="0.25">
      <c r="A483" s="8">
        <v>2002</v>
      </c>
      <c r="B483" s="10" t="s">
        <v>828</v>
      </c>
      <c r="C483" s="97" t="s">
        <v>1174</v>
      </c>
      <c r="D483" s="214">
        <v>15988</v>
      </c>
      <c r="E483" s="215">
        <f t="shared" si="7"/>
        <v>3</v>
      </c>
      <c r="F483" s="10">
        <v>0</v>
      </c>
      <c r="G483" s="10">
        <v>1</v>
      </c>
      <c r="H483" s="10">
        <v>0</v>
      </c>
      <c r="I483" s="216">
        <v>0</v>
      </c>
    </row>
    <row r="484" spans="1:9" x14ac:dyDescent="0.25">
      <c r="A484" s="8">
        <v>2002</v>
      </c>
      <c r="B484" s="10" t="s">
        <v>828</v>
      </c>
      <c r="C484" s="97" t="s">
        <v>1175</v>
      </c>
      <c r="D484" s="214">
        <v>16950</v>
      </c>
      <c r="E484" s="215">
        <f t="shared" si="7"/>
        <v>3</v>
      </c>
      <c r="F484" s="10">
        <v>0</v>
      </c>
      <c r="G484" s="10">
        <v>1</v>
      </c>
      <c r="H484" s="10">
        <v>0</v>
      </c>
      <c r="I484" s="216">
        <v>0</v>
      </c>
    </row>
    <row r="485" spans="1:9" x14ac:dyDescent="0.25">
      <c r="A485" s="8">
        <v>2002</v>
      </c>
      <c r="B485" s="10" t="s">
        <v>828</v>
      </c>
      <c r="C485" s="97" t="s">
        <v>1176</v>
      </c>
      <c r="D485" s="214">
        <v>14995</v>
      </c>
      <c r="E485" s="215">
        <f t="shared" si="7"/>
        <v>3</v>
      </c>
      <c r="F485" s="10">
        <v>0</v>
      </c>
      <c r="G485" s="10">
        <v>1</v>
      </c>
      <c r="H485" s="10">
        <v>0</v>
      </c>
      <c r="I485" s="216">
        <v>0</v>
      </c>
    </row>
    <row r="486" spans="1:9" x14ac:dyDescent="0.25">
      <c r="A486" s="8">
        <v>2003</v>
      </c>
      <c r="B486" s="10" t="s">
        <v>828</v>
      </c>
      <c r="C486" s="97" t="s">
        <v>1177</v>
      </c>
      <c r="D486" s="214">
        <v>26900</v>
      </c>
      <c r="E486" s="215">
        <f t="shared" si="7"/>
        <v>2</v>
      </c>
      <c r="F486" s="10">
        <v>0</v>
      </c>
      <c r="G486" s="10">
        <v>1</v>
      </c>
      <c r="H486" s="10">
        <v>0</v>
      </c>
      <c r="I486" s="216">
        <v>0</v>
      </c>
    </row>
    <row r="487" spans="1:9" x14ac:dyDescent="0.25">
      <c r="A487" s="8">
        <v>2001</v>
      </c>
      <c r="B487" s="10" t="s">
        <v>828</v>
      </c>
      <c r="C487" s="97" t="s">
        <v>1178</v>
      </c>
      <c r="D487" s="214">
        <v>18995</v>
      </c>
      <c r="E487" s="215">
        <f t="shared" si="7"/>
        <v>4</v>
      </c>
      <c r="F487" s="10">
        <v>0</v>
      </c>
      <c r="G487" s="10">
        <v>0</v>
      </c>
      <c r="H487" s="10">
        <v>1</v>
      </c>
      <c r="I487" s="216">
        <v>0</v>
      </c>
    </row>
    <row r="488" spans="1:9" x14ac:dyDescent="0.25">
      <c r="A488" s="8">
        <v>2003</v>
      </c>
      <c r="B488" s="10" t="s">
        <v>828</v>
      </c>
      <c r="C488" s="97" t="s">
        <v>1179</v>
      </c>
      <c r="D488" s="214">
        <v>19995</v>
      </c>
      <c r="E488" s="215">
        <f t="shared" si="7"/>
        <v>2</v>
      </c>
      <c r="F488" s="10">
        <v>0</v>
      </c>
      <c r="G488" s="10">
        <v>1</v>
      </c>
      <c r="H488" s="10">
        <v>0</v>
      </c>
      <c r="I488" s="216">
        <v>0</v>
      </c>
    </row>
    <row r="489" spans="1:9" x14ac:dyDescent="0.25">
      <c r="A489" s="8">
        <v>2001</v>
      </c>
      <c r="B489" s="10" t="s">
        <v>828</v>
      </c>
      <c r="C489" s="97" t="s">
        <v>1180</v>
      </c>
      <c r="D489" s="214">
        <v>14995</v>
      </c>
      <c r="E489" s="215">
        <f t="shared" si="7"/>
        <v>4</v>
      </c>
      <c r="F489" s="10">
        <v>0</v>
      </c>
      <c r="G489" s="10">
        <v>0</v>
      </c>
      <c r="H489" s="10">
        <v>1</v>
      </c>
      <c r="I489" s="216">
        <v>0</v>
      </c>
    </row>
    <row r="490" spans="1:9" x14ac:dyDescent="0.25">
      <c r="A490" s="8">
        <v>2003</v>
      </c>
      <c r="B490" s="10" t="s">
        <v>828</v>
      </c>
      <c r="C490" s="97" t="s">
        <v>1181</v>
      </c>
      <c r="D490" s="214">
        <v>21895</v>
      </c>
      <c r="E490" s="215">
        <f t="shared" si="7"/>
        <v>2</v>
      </c>
      <c r="F490" s="10">
        <v>0</v>
      </c>
      <c r="G490" s="10">
        <v>1</v>
      </c>
      <c r="H490" s="10">
        <v>0</v>
      </c>
      <c r="I490" s="216">
        <v>0</v>
      </c>
    </row>
    <row r="491" spans="1:9" x14ac:dyDescent="0.25">
      <c r="A491" s="8">
        <v>2002</v>
      </c>
      <c r="B491" s="10" t="s">
        <v>828</v>
      </c>
      <c r="C491" s="97" t="s">
        <v>1182</v>
      </c>
      <c r="D491" s="214">
        <v>22988</v>
      </c>
      <c r="E491" s="215">
        <f t="shared" si="7"/>
        <v>3</v>
      </c>
      <c r="F491" s="10">
        <v>0</v>
      </c>
      <c r="G491" s="10">
        <v>1</v>
      </c>
      <c r="H491" s="10">
        <v>0</v>
      </c>
      <c r="I491" s="216">
        <v>0</v>
      </c>
    </row>
    <row r="492" spans="1:9" x14ac:dyDescent="0.25">
      <c r="A492" s="8">
        <v>2002</v>
      </c>
      <c r="B492" s="10" t="s">
        <v>892</v>
      </c>
      <c r="C492" s="97" t="s">
        <v>1183</v>
      </c>
      <c r="D492" s="214">
        <v>18995</v>
      </c>
      <c r="E492" s="215">
        <f t="shared" si="7"/>
        <v>3</v>
      </c>
      <c r="F492" s="10">
        <v>0</v>
      </c>
      <c r="G492" s="10">
        <v>1</v>
      </c>
      <c r="H492" s="10">
        <v>0</v>
      </c>
      <c r="I492" s="216">
        <v>0</v>
      </c>
    </row>
    <row r="493" spans="1:9" x14ac:dyDescent="0.25">
      <c r="A493" s="8">
        <v>2001</v>
      </c>
      <c r="B493" s="10" t="s">
        <v>892</v>
      </c>
      <c r="C493" s="97" t="s">
        <v>1183</v>
      </c>
      <c r="D493" s="214">
        <v>13995</v>
      </c>
      <c r="E493" s="215">
        <f t="shared" si="7"/>
        <v>4</v>
      </c>
      <c r="F493" s="10">
        <v>0</v>
      </c>
      <c r="G493" s="10">
        <v>1</v>
      </c>
      <c r="H493" s="10">
        <v>0</v>
      </c>
      <c r="I493" s="216">
        <v>0</v>
      </c>
    </row>
    <row r="494" spans="1:9" x14ac:dyDescent="0.25">
      <c r="A494" s="8">
        <v>1993</v>
      </c>
      <c r="B494" s="10" t="s">
        <v>828</v>
      </c>
      <c r="C494" s="97" t="s">
        <v>1184</v>
      </c>
      <c r="D494" s="214">
        <v>5995</v>
      </c>
      <c r="E494" s="215">
        <f t="shared" si="7"/>
        <v>12</v>
      </c>
      <c r="F494" s="10">
        <v>0</v>
      </c>
      <c r="G494" s="10">
        <v>0</v>
      </c>
      <c r="H494" s="10">
        <v>0</v>
      </c>
      <c r="I494" s="216">
        <v>1</v>
      </c>
    </row>
    <row r="495" spans="1:9" x14ac:dyDescent="0.25">
      <c r="A495" s="8">
        <v>2002</v>
      </c>
      <c r="B495" s="10" t="s">
        <v>828</v>
      </c>
      <c r="C495" s="97" t="s">
        <v>1185</v>
      </c>
      <c r="D495" s="214">
        <v>23995</v>
      </c>
      <c r="E495" s="215">
        <f t="shared" si="7"/>
        <v>3</v>
      </c>
      <c r="F495" s="10">
        <v>0</v>
      </c>
      <c r="G495" s="10">
        <v>0</v>
      </c>
      <c r="H495" s="10">
        <v>1</v>
      </c>
      <c r="I495" s="216">
        <v>0</v>
      </c>
    </row>
    <row r="496" spans="1:9" x14ac:dyDescent="0.25">
      <c r="A496" s="8">
        <v>1997</v>
      </c>
      <c r="B496" s="10" t="s">
        <v>828</v>
      </c>
      <c r="C496" s="97" t="s">
        <v>1186</v>
      </c>
      <c r="D496" s="214">
        <v>10995</v>
      </c>
      <c r="E496" s="215">
        <f t="shared" si="7"/>
        <v>8</v>
      </c>
      <c r="F496" s="10">
        <v>0</v>
      </c>
      <c r="G496" s="10">
        <v>0</v>
      </c>
      <c r="H496" s="10">
        <v>1</v>
      </c>
      <c r="I496" s="216">
        <v>0</v>
      </c>
    </row>
    <row r="497" spans="1:9" x14ac:dyDescent="0.25">
      <c r="A497" s="8">
        <v>1999</v>
      </c>
      <c r="B497" s="10" t="s">
        <v>828</v>
      </c>
      <c r="C497" s="97" t="s">
        <v>1187</v>
      </c>
      <c r="D497" s="214">
        <v>11995</v>
      </c>
      <c r="E497" s="215">
        <f t="shared" si="7"/>
        <v>6</v>
      </c>
      <c r="F497" s="10">
        <v>0</v>
      </c>
      <c r="G497" s="10">
        <v>0</v>
      </c>
      <c r="H497" s="10">
        <v>1</v>
      </c>
      <c r="I497" s="216">
        <v>0</v>
      </c>
    </row>
    <row r="498" spans="1:9" x14ac:dyDescent="0.25">
      <c r="A498" s="8">
        <v>2002</v>
      </c>
      <c r="B498" s="10" t="s">
        <v>828</v>
      </c>
      <c r="C498" s="97" t="s">
        <v>1187</v>
      </c>
      <c r="D498" s="214">
        <v>24995</v>
      </c>
      <c r="E498" s="215">
        <f t="shared" si="7"/>
        <v>3</v>
      </c>
      <c r="F498" s="10">
        <v>0</v>
      </c>
      <c r="G498" s="10">
        <v>0</v>
      </c>
      <c r="H498" s="10">
        <v>1</v>
      </c>
      <c r="I498" s="216">
        <v>0</v>
      </c>
    </row>
    <row r="499" spans="1:9" x14ac:dyDescent="0.25">
      <c r="A499" s="8">
        <v>2003</v>
      </c>
      <c r="B499" s="10" t="s">
        <v>828</v>
      </c>
      <c r="C499" s="97" t="s">
        <v>1188</v>
      </c>
      <c r="D499" s="214">
        <v>28988</v>
      </c>
      <c r="E499" s="215">
        <f t="shared" si="7"/>
        <v>2</v>
      </c>
      <c r="F499" s="10">
        <v>0</v>
      </c>
      <c r="G499" s="10">
        <v>0</v>
      </c>
      <c r="H499" s="10">
        <v>1</v>
      </c>
      <c r="I499" s="216">
        <v>0</v>
      </c>
    </row>
    <row r="500" spans="1:9" x14ac:dyDescent="0.25">
      <c r="A500" s="8">
        <v>1999</v>
      </c>
      <c r="B500" s="10" t="s">
        <v>828</v>
      </c>
      <c r="C500" s="97" t="s">
        <v>1189</v>
      </c>
      <c r="D500" s="214">
        <v>12995</v>
      </c>
      <c r="E500" s="215">
        <f t="shared" si="7"/>
        <v>6</v>
      </c>
      <c r="F500" s="10">
        <v>0</v>
      </c>
      <c r="G500" s="10">
        <v>0</v>
      </c>
      <c r="H500" s="10">
        <v>1</v>
      </c>
      <c r="I500" s="216">
        <v>0</v>
      </c>
    </row>
    <row r="501" spans="1:9" x14ac:dyDescent="0.25">
      <c r="A501" s="8">
        <v>2001</v>
      </c>
      <c r="B501" s="10" t="s">
        <v>828</v>
      </c>
      <c r="C501" s="97" t="s">
        <v>1190</v>
      </c>
      <c r="D501" s="214">
        <v>17995</v>
      </c>
      <c r="E501" s="215">
        <f t="shared" si="7"/>
        <v>4</v>
      </c>
      <c r="F501" s="10">
        <v>0</v>
      </c>
      <c r="G501" s="10">
        <v>0</v>
      </c>
      <c r="H501" s="10">
        <v>1</v>
      </c>
      <c r="I501" s="216">
        <v>0</v>
      </c>
    </row>
    <row r="502" spans="1:9" x14ac:dyDescent="0.25">
      <c r="A502" s="8">
        <v>2003</v>
      </c>
      <c r="B502" s="10" t="s">
        <v>828</v>
      </c>
      <c r="C502" s="97" t="s">
        <v>1191</v>
      </c>
      <c r="D502" s="214">
        <v>29999</v>
      </c>
      <c r="E502" s="215">
        <f t="shared" si="7"/>
        <v>2</v>
      </c>
      <c r="F502" s="10">
        <v>0</v>
      </c>
      <c r="G502" s="10">
        <v>0</v>
      </c>
      <c r="H502" s="10">
        <v>1</v>
      </c>
      <c r="I502" s="216">
        <v>0</v>
      </c>
    </row>
    <row r="503" spans="1:9" x14ac:dyDescent="0.25">
      <c r="A503" s="8">
        <v>1965</v>
      </c>
      <c r="B503" s="10" t="s">
        <v>892</v>
      </c>
      <c r="C503" s="97" t="s">
        <v>1192</v>
      </c>
      <c r="D503" s="214">
        <v>41900</v>
      </c>
      <c r="E503" s="215">
        <f t="shared" si="7"/>
        <v>40</v>
      </c>
      <c r="F503" s="10">
        <v>1</v>
      </c>
      <c r="G503" s="10">
        <v>0</v>
      </c>
      <c r="H503" s="10">
        <v>0</v>
      </c>
      <c r="I503" s="216">
        <v>0</v>
      </c>
    </row>
    <row r="504" spans="1:9" x14ac:dyDescent="0.25">
      <c r="A504" s="8">
        <v>2000</v>
      </c>
      <c r="B504" s="10" t="s">
        <v>828</v>
      </c>
      <c r="C504" s="97" t="s">
        <v>1193</v>
      </c>
      <c r="D504" s="214">
        <v>18995</v>
      </c>
      <c r="E504" s="215">
        <f t="shared" si="7"/>
        <v>5</v>
      </c>
      <c r="F504" s="10">
        <v>0</v>
      </c>
      <c r="G504" s="10">
        <v>0</v>
      </c>
      <c r="H504" s="10">
        <v>1</v>
      </c>
      <c r="I504" s="216">
        <v>0</v>
      </c>
    </row>
    <row r="505" spans="1:9" x14ac:dyDescent="0.25">
      <c r="A505" s="8">
        <v>2001</v>
      </c>
      <c r="B505" s="10" t="s">
        <v>828</v>
      </c>
      <c r="C505" s="97" t="s">
        <v>1194</v>
      </c>
      <c r="D505" s="214">
        <v>17990</v>
      </c>
      <c r="E505" s="215">
        <f t="shared" si="7"/>
        <v>4</v>
      </c>
      <c r="F505" s="10">
        <v>0</v>
      </c>
      <c r="G505" s="10">
        <v>0</v>
      </c>
      <c r="H505" s="10">
        <v>1</v>
      </c>
      <c r="I505" s="216">
        <v>0</v>
      </c>
    </row>
    <row r="506" spans="1:9" x14ac:dyDescent="0.25">
      <c r="A506" s="8">
        <v>2002</v>
      </c>
      <c r="B506" s="10" t="s">
        <v>828</v>
      </c>
      <c r="C506" s="97" t="s">
        <v>1195</v>
      </c>
      <c r="D506" s="214">
        <v>23990</v>
      </c>
      <c r="E506" s="215">
        <f t="shared" si="7"/>
        <v>3</v>
      </c>
      <c r="F506" s="10">
        <v>0</v>
      </c>
      <c r="G506" s="10">
        <v>0</v>
      </c>
      <c r="H506" s="10">
        <v>1</v>
      </c>
      <c r="I506" s="216">
        <v>0</v>
      </c>
    </row>
    <row r="507" spans="1:9" x14ac:dyDescent="0.25">
      <c r="A507" s="8">
        <v>2002</v>
      </c>
      <c r="B507" s="10" t="s">
        <v>828</v>
      </c>
      <c r="C507" s="97" t="s">
        <v>1196</v>
      </c>
      <c r="D507" s="214">
        <v>18921</v>
      </c>
      <c r="E507" s="215">
        <f t="shared" si="7"/>
        <v>3</v>
      </c>
      <c r="F507" s="10">
        <v>0</v>
      </c>
      <c r="G507" s="10">
        <v>0</v>
      </c>
      <c r="H507" s="10">
        <v>1</v>
      </c>
      <c r="I507" s="216">
        <v>0</v>
      </c>
    </row>
    <row r="508" spans="1:9" x14ac:dyDescent="0.25">
      <c r="A508" s="8">
        <v>2000</v>
      </c>
      <c r="B508" s="10" t="s">
        <v>828</v>
      </c>
      <c r="C508" s="97" t="s">
        <v>1197</v>
      </c>
      <c r="D508" s="214">
        <v>15995</v>
      </c>
      <c r="E508" s="215">
        <f t="shared" si="7"/>
        <v>5</v>
      </c>
      <c r="F508" s="10">
        <v>0</v>
      </c>
      <c r="G508" s="10">
        <v>0</v>
      </c>
      <c r="H508" s="10">
        <v>1</v>
      </c>
      <c r="I508" s="216">
        <v>0</v>
      </c>
    </row>
    <row r="509" spans="1:9" x14ac:dyDescent="0.25">
      <c r="A509" s="8">
        <v>2002</v>
      </c>
      <c r="B509" s="10" t="s">
        <v>828</v>
      </c>
      <c r="C509" s="97" t="s">
        <v>1198</v>
      </c>
      <c r="D509" s="214">
        <v>19495</v>
      </c>
      <c r="E509" s="215">
        <f t="shared" si="7"/>
        <v>3</v>
      </c>
      <c r="F509" s="10">
        <v>0</v>
      </c>
      <c r="G509" s="10">
        <v>0</v>
      </c>
      <c r="H509" s="10">
        <v>1</v>
      </c>
      <c r="I509" s="216">
        <v>0</v>
      </c>
    </row>
    <row r="510" spans="1:9" x14ac:dyDescent="0.25">
      <c r="A510" s="8">
        <v>2002</v>
      </c>
      <c r="B510" s="10" t="s">
        <v>828</v>
      </c>
      <c r="C510" s="97" t="s">
        <v>1199</v>
      </c>
      <c r="D510" s="214">
        <v>22995</v>
      </c>
      <c r="E510" s="215">
        <f t="shared" si="7"/>
        <v>3</v>
      </c>
      <c r="F510" s="10">
        <v>0</v>
      </c>
      <c r="G510" s="10">
        <v>0</v>
      </c>
      <c r="H510" s="10">
        <v>1</v>
      </c>
      <c r="I510" s="216">
        <v>0</v>
      </c>
    </row>
    <row r="511" spans="1:9" x14ac:dyDescent="0.25">
      <c r="A511" s="8">
        <v>2002</v>
      </c>
      <c r="B511" s="10" t="s">
        <v>828</v>
      </c>
      <c r="C511" s="97" t="s">
        <v>1200</v>
      </c>
      <c r="D511" s="214">
        <v>22688</v>
      </c>
      <c r="E511" s="215">
        <f t="shared" si="7"/>
        <v>3</v>
      </c>
      <c r="F511" s="10">
        <v>0</v>
      </c>
      <c r="G511" s="10">
        <v>0</v>
      </c>
      <c r="H511" s="10">
        <v>1</v>
      </c>
      <c r="I511" s="216">
        <v>0</v>
      </c>
    </row>
    <row r="512" spans="1:9" x14ac:dyDescent="0.25">
      <c r="A512" s="8">
        <v>2003</v>
      </c>
      <c r="B512" s="10" t="s">
        <v>828</v>
      </c>
      <c r="C512" s="97" t="s">
        <v>1201</v>
      </c>
      <c r="D512" s="214">
        <v>33993</v>
      </c>
      <c r="E512" s="215">
        <f t="shared" si="7"/>
        <v>2</v>
      </c>
      <c r="F512" s="10">
        <v>0</v>
      </c>
      <c r="G512" s="10">
        <v>0</v>
      </c>
      <c r="H512" s="10">
        <v>1</v>
      </c>
      <c r="I512" s="216">
        <v>0</v>
      </c>
    </row>
    <row r="513" spans="1:9" x14ac:dyDescent="0.25">
      <c r="A513" s="8">
        <v>1999</v>
      </c>
      <c r="B513" s="10" t="s">
        <v>828</v>
      </c>
      <c r="C513" s="97" t="s">
        <v>1202</v>
      </c>
      <c r="D513" s="214">
        <v>9995</v>
      </c>
      <c r="E513" s="215">
        <f t="shared" si="7"/>
        <v>6</v>
      </c>
      <c r="F513" s="10">
        <v>0</v>
      </c>
      <c r="G513" s="10">
        <v>1</v>
      </c>
      <c r="H513" s="10">
        <v>0</v>
      </c>
      <c r="I513" s="216">
        <v>0</v>
      </c>
    </row>
    <row r="514" spans="1:9" x14ac:dyDescent="0.25">
      <c r="A514" s="8">
        <v>2001</v>
      </c>
      <c r="B514" s="10" t="s">
        <v>828</v>
      </c>
      <c r="C514" s="97" t="s">
        <v>1202</v>
      </c>
      <c r="D514" s="214">
        <v>19995</v>
      </c>
      <c r="E514" s="215">
        <f t="shared" ref="E514:E577" si="8">2005-A514</f>
        <v>4</v>
      </c>
      <c r="F514" s="10">
        <v>0</v>
      </c>
      <c r="G514" s="10">
        <v>0</v>
      </c>
      <c r="H514" s="10">
        <v>1</v>
      </c>
      <c r="I514" s="216">
        <v>0</v>
      </c>
    </row>
    <row r="515" spans="1:9" x14ac:dyDescent="0.25">
      <c r="A515" s="8">
        <v>2002</v>
      </c>
      <c r="B515" s="10" t="s">
        <v>828</v>
      </c>
      <c r="C515" s="97" t="s">
        <v>1202</v>
      </c>
      <c r="D515" s="214">
        <v>17995</v>
      </c>
      <c r="E515" s="215">
        <f t="shared" si="8"/>
        <v>3</v>
      </c>
      <c r="F515" s="10">
        <v>0</v>
      </c>
      <c r="G515" s="10">
        <v>0</v>
      </c>
      <c r="H515" s="10">
        <v>1</v>
      </c>
      <c r="I515" s="216">
        <v>0</v>
      </c>
    </row>
    <row r="516" spans="1:9" x14ac:dyDescent="0.25">
      <c r="A516" s="8">
        <v>2002</v>
      </c>
      <c r="B516" s="10" t="s">
        <v>828</v>
      </c>
      <c r="C516" s="97" t="s">
        <v>1203</v>
      </c>
      <c r="D516" s="214">
        <v>25995</v>
      </c>
      <c r="E516" s="215">
        <f t="shared" si="8"/>
        <v>3</v>
      </c>
      <c r="F516" s="10">
        <v>0</v>
      </c>
      <c r="G516" s="10">
        <v>0</v>
      </c>
      <c r="H516" s="10">
        <v>1</v>
      </c>
      <c r="I516" s="216">
        <v>0</v>
      </c>
    </row>
    <row r="517" spans="1:9" x14ac:dyDescent="0.25">
      <c r="A517" s="8">
        <v>2002</v>
      </c>
      <c r="B517" s="10" t="s">
        <v>828</v>
      </c>
      <c r="C517" s="97" t="s">
        <v>1204</v>
      </c>
      <c r="D517" s="214">
        <v>26900</v>
      </c>
      <c r="E517" s="215">
        <f t="shared" si="8"/>
        <v>3</v>
      </c>
      <c r="F517" s="10">
        <v>0</v>
      </c>
      <c r="G517" s="10">
        <v>0</v>
      </c>
      <c r="H517" s="10">
        <v>1</v>
      </c>
      <c r="I517" s="216">
        <v>0</v>
      </c>
    </row>
    <row r="518" spans="1:9" x14ac:dyDescent="0.25">
      <c r="A518" s="8">
        <v>2002</v>
      </c>
      <c r="B518" s="10" t="s">
        <v>828</v>
      </c>
      <c r="C518" s="97" t="s">
        <v>1205</v>
      </c>
      <c r="D518" s="214">
        <v>26995</v>
      </c>
      <c r="E518" s="215">
        <f t="shared" si="8"/>
        <v>3</v>
      </c>
      <c r="F518" s="10">
        <v>0</v>
      </c>
      <c r="G518" s="10">
        <v>0</v>
      </c>
      <c r="H518" s="10">
        <v>1</v>
      </c>
      <c r="I518" s="216">
        <v>0</v>
      </c>
    </row>
    <row r="519" spans="1:9" x14ac:dyDescent="0.25">
      <c r="A519" s="8">
        <v>2003</v>
      </c>
      <c r="B519" s="10" t="s">
        <v>828</v>
      </c>
      <c r="C519" s="97" t="s">
        <v>1206</v>
      </c>
      <c r="D519" s="214">
        <v>32995</v>
      </c>
      <c r="E519" s="215">
        <f t="shared" si="8"/>
        <v>2</v>
      </c>
      <c r="F519" s="10">
        <v>0</v>
      </c>
      <c r="G519" s="10">
        <v>0</v>
      </c>
      <c r="H519" s="10">
        <v>1</v>
      </c>
      <c r="I519" s="216">
        <v>0</v>
      </c>
    </row>
    <row r="520" spans="1:9" x14ac:dyDescent="0.25">
      <c r="A520" s="8">
        <v>2003</v>
      </c>
      <c r="B520" s="10" t="s">
        <v>828</v>
      </c>
      <c r="C520" s="97" t="s">
        <v>1206</v>
      </c>
      <c r="D520" s="214">
        <v>26995</v>
      </c>
      <c r="E520" s="215">
        <f t="shared" si="8"/>
        <v>2</v>
      </c>
      <c r="F520" s="10">
        <v>0</v>
      </c>
      <c r="G520" s="10">
        <v>0</v>
      </c>
      <c r="H520" s="10">
        <v>1</v>
      </c>
      <c r="I520" s="216">
        <v>0</v>
      </c>
    </row>
    <row r="521" spans="1:9" x14ac:dyDescent="0.25">
      <c r="A521" s="8">
        <v>2003</v>
      </c>
      <c r="B521" s="10" t="s">
        <v>828</v>
      </c>
      <c r="C521" s="97" t="s">
        <v>1206</v>
      </c>
      <c r="D521" s="214">
        <v>26995</v>
      </c>
      <c r="E521" s="215">
        <f t="shared" si="8"/>
        <v>2</v>
      </c>
      <c r="F521" s="10">
        <v>0</v>
      </c>
      <c r="G521" s="10">
        <v>0</v>
      </c>
      <c r="H521" s="10">
        <v>1</v>
      </c>
      <c r="I521" s="216">
        <v>0</v>
      </c>
    </row>
    <row r="522" spans="1:9" x14ac:dyDescent="0.25">
      <c r="A522" s="8">
        <v>2002</v>
      </c>
      <c r="B522" s="10" t="s">
        <v>828</v>
      </c>
      <c r="C522" s="97" t="s">
        <v>1206</v>
      </c>
      <c r="D522" s="214">
        <v>24495</v>
      </c>
      <c r="E522" s="215">
        <f t="shared" si="8"/>
        <v>3</v>
      </c>
      <c r="F522" s="10">
        <v>0</v>
      </c>
      <c r="G522" s="10">
        <v>0</v>
      </c>
      <c r="H522" s="10">
        <v>1</v>
      </c>
      <c r="I522" s="216">
        <v>0</v>
      </c>
    </row>
    <row r="523" spans="1:9" x14ac:dyDescent="0.25">
      <c r="A523" s="8">
        <v>1991</v>
      </c>
      <c r="B523" s="10" t="s">
        <v>892</v>
      </c>
      <c r="C523" s="97" t="s">
        <v>1207</v>
      </c>
      <c r="D523" s="214">
        <v>1777</v>
      </c>
      <c r="E523" s="215">
        <f t="shared" si="8"/>
        <v>14</v>
      </c>
      <c r="F523" s="10">
        <v>1</v>
      </c>
      <c r="G523" s="10">
        <v>0</v>
      </c>
      <c r="H523" s="10">
        <v>0</v>
      </c>
      <c r="I523" s="216">
        <v>0</v>
      </c>
    </row>
    <row r="524" spans="1:9" x14ac:dyDescent="0.25">
      <c r="A524" s="8">
        <v>1996</v>
      </c>
      <c r="B524" s="10" t="s">
        <v>892</v>
      </c>
      <c r="C524" s="97" t="s">
        <v>1208</v>
      </c>
      <c r="D524" s="214">
        <v>4999</v>
      </c>
      <c r="E524" s="215">
        <f t="shared" si="8"/>
        <v>9</v>
      </c>
      <c r="F524" s="10">
        <v>1</v>
      </c>
      <c r="G524" s="10">
        <v>0</v>
      </c>
      <c r="H524" s="10">
        <v>0</v>
      </c>
      <c r="I524" s="216">
        <v>0</v>
      </c>
    </row>
    <row r="525" spans="1:9" x14ac:dyDescent="0.25">
      <c r="A525" s="8">
        <v>2001</v>
      </c>
      <c r="B525" s="10" t="s">
        <v>892</v>
      </c>
      <c r="C525" s="97" t="s">
        <v>1209</v>
      </c>
      <c r="D525" s="214">
        <v>6988</v>
      </c>
      <c r="E525" s="215">
        <f t="shared" si="8"/>
        <v>4</v>
      </c>
      <c r="F525" s="10">
        <v>1</v>
      </c>
      <c r="G525" s="10">
        <v>0</v>
      </c>
      <c r="H525" s="10">
        <v>0</v>
      </c>
      <c r="I525" s="216">
        <v>0</v>
      </c>
    </row>
    <row r="526" spans="1:9" x14ac:dyDescent="0.25">
      <c r="A526" s="8">
        <v>2001</v>
      </c>
      <c r="B526" s="10" t="s">
        <v>892</v>
      </c>
      <c r="C526" s="97" t="s">
        <v>1209</v>
      </c>
      <c r="D526" s="214">
        <v>7995</v>
      </c>
      <c r="E526" s="215">
        <f t="shared" si="8"/>
        <v>4</v>
      </c>
      <c r="F526" s="10">
        <v>1</v>
      </c>
      <c r="G526" s="10">
        <v>0</v>
      </c>
      <c r="H526" s="10">
        <v>0</v>
      </c>
      <c r="I526" s="216">
        <v>0</v>
      </c>
    </row>
    <row r="527" spans="1:9" x14ac:dyDescent="0.25">
      <c r="A527" s="8">
        <v>2004</v>
      </c>
      <c r="B527" s="10" t="s">
        <v>892</v>
      </c>
      <c r="C527" s="97" t="s">
        <v>1209</v>
      </c>
      <c r="D527" s="214">
        <v>12995</v>
      </c>
      <c r="E527" s="215">
        <f t="shared" si="8"/>
        <v>1</v>
      </c>
      <c r="F527" s="10">
        <v>1</v>
      </c>
      <c r="G527" s="10">
        <v>0</v>
      </c>
      <c r="H527" s="10">
        <v>0</v>
      </c>
      <c r="I527" s="216">
        <v>0</v>
      </c>
    </row>
    <row r="528" spans="1:9" x14ac:dyDescent="0.25">
      <c r="A528" s="8">
        <v>2003</v>
      </c>
      <c r="B528" s="10" t="s">
        <v>892</v>
      </c>
      <c r="C528" s="97" t="s">
        <v>1209</v>
      </c>
      <c r="D528" s="214">
        <v>9995</v>
      </c>
      <c r="E528" s="215">
        <f t="shared" si="8"/>
        <v>2</v>
      </c>
      <c r="F528" s="10">
        <v>1</v>
      </c>
      <c r="G528" s="10">
        <v>0</v>
      </c>
      <c r="H528" s="10">
        <v>0</v>
      </c>
      <c r="I528" s="216">
        <v>0</v>
      </c>
    </row>
    <row r="529" spans="1:9" x14ac:dyDescent="0.25">
      <c r="A529" s="8">
        <v>2003</v>
      </c>
      <c r="B529" s="10" t="s">
        <v>892</v>
      </c>
      <c r="C529" s="97" t="s">
        <v>1209</v>
      </c>
      <c r="D529" s="214">
        <v>10995</v>
      </c>
      <c r="E529" s="215">
        <f t="shared" si="8"/>
        <v>2</v>
      </c>
      <c r="F529" s="10">
        <v>1</v>
      </c>
      <c r="G529" s="10">
        <v>0</v>
      </c>
      <c r="H529" s="10">
        <v>0</v>
      </c>
      <c r="I529" s="216">
        <v>0</v>
      </c>
    </row>
    <row r="530" spans="1:9" x14ac:dyDescent="0.25">
      <c r="A530" s="8">
        <v>2002</v>
      </c>
      <c r="B530" s="10" t="s">
        <v>892</v>
      </c>
      <c r="C530" s="97" t="s">
        <v>1209</v>
      </c>
      <c r="D530" s="214">
        <v>9995</v>
      </c>
      <c r="E530" s="215">
        <f t="shared" si="8"/>
        <v>3</v>
      </c>
      <c r="F530" s="10">
        <v>1</v>
      </c>
      <c r="G530" s="10">
        <v>0</v>
      </c>
      <c r="H530" s="10">
        <v>0</v>
      </c>
      <c r="I530" s="216">
        <v>0</v>
      </c>
    </row>
    <row r="531" spans="1:9" x14ac:dyDescent="0.25">
      <c r="A531" s="8">
        <v>2002</v>
      </c>
      <c r="B531" s="10" t="s">
        <v>892</v>
      </c>
      <c r="C531" s="97" t="s">
        <v>1209</v>
      </c>
      <c r="D531" s="214">
        <v>9980</v>
      </c>
      <c r="E531" s="215">
        <f t="shared" si="8"/>
        <v>3</v>
      </c>
      <c r="F531" s="10">
        <v>1</v>
      </c>
      <c r="G531" s="10">
        <v>0</v>
      </c>
      <c r="H531" s="10">
        <v>0</v>
      </c>
      <c r="I531" s="216">
        <v>0</v>
      </c>
    </row>
    <row r="532" spans="1:9" x14ac:dyDescent="0.25">
      <c r="A532" s="8">
        <v>1999</v>
      </c>
      <c r="B532" s="10" t="s">
        <v>892</v>
      </c>
      <c r="C532" s="97" t="s">
        <v>1210</v>
      </c>
      <c r="D532" s="214">
        <v>5995</v>
      </c>
      <c r="E532" s="215">
        <f t="shared" si="8"/>
        <v>6</v>
      </c>
      <c r="F532" s="10">
        <v>1</v>
      </c>
      <c r="G532" s="10">
        <v>0</v>
      </c>
      <c r="H532" s="10">
        <v>0</v>
      </c>
      <c r="I532" s="216">
        <v>0</v>
      </c>
    </row>
    <row r="533" spans="1:9" x14ac:dyDescent="0.25">
      <c r="A533" s="8">
        <v>1994</v>
      </c>
      <c r="B533" s="10" t="s">
        <v>892</v>
      </c>
      <c r="C533" s="97" t="s">
        <v>1211</v>
      </c>
      <c r="D533" s="214">
        <v>4490</v>
      </c>
      <c r="E533" s="215">
        <f t="shared" si="8"/>
        <v>11</v>
      </c>
      <c r="F533" s="10">
        <v>1</v>
      </c>
      <c r="G533" s="10">
        <v>0</v>
      </c>
      <c r="H533" s="10">
        <v>0</v>
      </c>
      <c r="I533" s="216">
        <v>0</v>
      </c>
    </row>
    <row r="534" spans="1:9" x14ac:dyDescent="0.25">
      <c r="A534" s="8">
        <v>2000</v>
      </c>
      <c r="B534" s="10" t="s">
        <v>892</v>
      </c>
      <c r="C534" s="97" t="s">
        <v>1211</v>
      </c>
      <c r="D534" s="214">
        <v>5999</v>
      </c>
      <c r="E534" s="215">
        <f t="shared" si="8"/>
        <v>5</v>
      </c>
      <c r="F534" s="10">
        <v>1</v>
      </c>
      <c r="G534" s="10">
        <v>0</v>
      </c>
      <c r="H534" s="10">
        <v>0</v>
      </c>
      <c r="I534" s="216">
        <v>0</v>
      </c>
    </row>
    <row r="535" spans="1:9" x14ac:dyDescent="0.25">
      <c r="A535" s="8">
        <v>2000</v>
      </c>
      <c r="B535" s="10" t="s">
        <v>892</v>
      </c>
      <c r="C535" s="97" t="s">
        <v>1211</v>
      </c>
      <c r="D535" s="214">
        <v>6799</v>
      </c>
      <c r="E535" s="215">
        <f t="shared" si="8"/>
        <v>5</v>
      </c>
      <c r="F535" s="10">
        <v>1</v>
      </c>
      <c r="G535" s="10">
        <v>0</v>
      </c>
      <c r="H535" s="10">
        <v>0</v>
      </c>
      <c r="I535" s="216">
        <v>0</v>
      </c>
    </row>
    <row r="536" spans="1:9" x14ac:dyDescent="0.25">
      <c r="A536" s="8">
        <v>2003</v>
      </c>
      <c r="B536" s="10" t="s">
        <v>892</v>
      </c>
      <c r="C536" s="97" t="s">
        <v>1211</v>
      </c>
      <c r="D536" s="214">
        <v>11990</v>
      </c>
      <c r="E536" s="215">
        <f t="shared" si="8"/>
        <v>2</v>
      </c>
      <c r="F536" s="10">
        <v>1</v>
      </c>
      <c r="G536" s="10">
        <v>0</v>
      </c>
      <c r="H536" s="10">
        <v>0</v>
      </c>
      <c r="I536" s="216">
        <v>0</v>
      </c>
    </row>
    <row r="537" spans="1:9" x14ac:dyDescent="0.25">
      <c r="A537" s="8">
        <v>2003</v>
      </c>
      <c r="B537" s="10" t="s">
        <v>892</v>
      </c>
      <c r="C537" s="97" t="s">
        <v>1211</v>
      </c>
      <c r="D537" s="214">
        <v>9995</v>
      </c>
      <c r="E537" s="215">
        <f t="shared" si="8"/>
        <v>2</v>
      </c>
      <c r="F537" s="10">
        <v>1</v>
      </c>
      <c r="G537" s="10">
        <v>0</v>
      </c>
      <c r="H537" s="10">
        <v>0</v>
      </c>
      <c r="I537" s="216">
        <v>0</v>
      </c>
    </row>
    <row r="538" spans="1:9" x14ac:dyDescent="0.25">
      <c r="A538" s="8">
        <v>2003</v>
      </c>
      <c r="B538" s="10" t="s">
        <v>892</v>
      </c>
      <c r="C538" s="97" t="s">
        <v>1212</v>
      </c>
      <c r="D538" s="214">
        <v>14580</v>
      </c>
      <c r="E538" s="215">
        <f t="shared" si="8"/>
        <v>2</v>
      </c>
      <c r="F538" s="10">
        <v>1</v>
      </c>
      <c r="G538" s="10">
        <v>0</v>
      </c>
      <c r="H538" s="10">
        <v>0</v>
      </c>
      <c r="I538" s="216">
        <v>0</v>
      </c>
    </row>
    <row r="539" spans="1:9" x14ac:dyDescent="0.25">
      <c r="A539" s="8">
        <v>2001</v>
      </c>
      <c r="B539" s="10" t="s">
        <v>892</v>
      </c>
      <c r="C539" s="97" t="s">
        <v>1213</v>
      </c>
      <c r="D539" s="214">
        <v>7999</v>
      </c>
      <c r="E539" s="215">
        <f t="shared" si="8"/>
        <v>4</v>
      </c>
      <c r="F539" s="10">
        <v>1</v>
      </c>
      <c r="G539" s="10">
        <v>0</v>
      </c>
      <c r="H539" s="10">
        <v>0</v>
      </c>
      <c r="I539" s="216">
        <v>0</v>
      </c>
    </row>
    <row r="540" spans="1:9" x14ac:dyDescent="0.25">
      <c r="A540" s="8">
        <v>2002</v>
      </c>
      <c r="B540" s="10" t="s">
        <v>892</v>
      </c>
      <c r="C540" s="97" t="s">
        <v>1213</v>
      </c>
      <c r="D540" s="214">
        <v>12999</v>
      </c>
      <c r="E540" s="215">
        <f t="shared" si="8"/>
        <v>3</v>
      </c>
      <c r="F540" s="10">
        <v>1</v>
      </c>
      <c r="G540" s="10">
        <v>0</v>
      </c>
      <c r="H540" s="10">
        <v>0</v>
      </c>
      <c r="I540" s="216">
        <v>0</v>
      </c>
    </row>
    <row r="541" spans="1:9" x14ac:dyDescent="0.25">
      <c r="A541" s="8">
        <v>2003</v>
      </c>
      <c r="B541" s="10" t="s">
        <v>892</v>
      </c>
      <c r="C541" s="97" t="s">
        <v>1214</v>
      </c>
      <c r="D541" s="214">
        <v>11995</v>
      </c>
      <c r="E541" s="215">
        <f t="shared" si="8"/>
        <v>2</v>
      </c>
      <c r="F541" s="10">
        <v>1</v>
      </c>
      <c r="G541" s="10">
        <v>0</v>
      </c>
      <c r="H541" s="10">
        <v>0</v>
      </c>
      <c r="I541" s="216">
        <v>0</v>
      </c>
    </row>
    <row r="542" spans="1:9" x14ac:dyDescent="0.25">
      <c r="A542" s="8">
        <v>2002</v>
      </c>
      <c r="B542" s="10" t="s">
        <v>892</v>
      </c>
      <c r="C542" s="97" t="s">
        <v>1214</v>
      </c>
      <c r="D542" s="214">
        <v>11995</v>
      </c>
      <c r="E542" s="215">
        <f t="shared" si="8"/>
        <v>3</v>
      </c>
      <c r="F542" s="10">
        <v>1</v>
      </c>
      <c r="G542" s="10">
        <v>0</v>
      </c>
      <c r="H542" s="10">
        <v>0</v>
      </c>
      <c r="I542" s="216">
        <v>0</v>
      </c>
    </row>
    <row r="543" spans="1:9" x14ac:dyDescent="0.25">
      <c r="A543" s="8">
        <v>2001</v>
      </c>
      <c r="B543" s="10" t="s">
        <v>892</v>
      </c>
      <c r="C543" s="97" t="s">
        <v>1215</v>
      </c>
      <c r="D543" s="214">
        <v>9902</v>
      </c>
      <c r="E543" s="215">
        <f t="shared" si="8"/>
        <v>4</v>
      </c>
      <c r="F543" s="10">
        <v>1</v>
      </c>
      <c r="G543" s="10">
        <v>0</v>
      </c>
      <c r="H543" s="10">
        <v>0</v>
      </c>
      <c r="I543" s="216">
        <v>0</v>
      </c>
    </row>
    <row r="544" spans="1:9" x14ac:dyDescent="0.25">
      <c r="A544" s="8">
        <v>2002</v>
      </c>
      <c r="B544" s="10" t="s">
        <v>892</v>
      </c>
      <c r="C544" s="97" t="s">
        <v>1216</v>
      </c>
      <c r="D544" s="214">
        <v>6996</v>
      </c>
      <c r="E544" s="215">
        <f t="shared" si="8"/>
        <v>3</v>
      </c>
      <c r="F544" s="10">
        <v>1</v>
      </c>
      <c r="G544" s="10">
        <v>0</v>
      </c>
      <c r="H544" s="10">
        <v>0</v>
      </c>
      <c r="I544" s="216">
        <v>0</v>
      </c>
    </row>
    <row r="545" spans="1:9" x14ac:dyDescent="0.25">
      <c r="A545" s="8">
        <v>2003</v>
      </c>
      <c r="B545" s="10" t="s">
        <v>892</v>
      </c>
      <c r="C545" s="97" t="s">
        <v>1216</v>
      </c>
      <c r="D545" s="214">
        <v>10995</v>
      </c>
      <c r="E545" s="215">
        <f t="shared" si="8"/>
        <v>2</v>
      </c>
      <c r="F545" s="10">
        <v>1</v>
      </c>
      <c r="G545" s="10">
        <v>0</v>
      </c>
      <c r="H545" s="10">
        <v>0</v>
      </c>
      <c r="I545" s="216">
        <v>0</v>
      </c>
    </row>
    <row r="546" spans="1:9" x14ac:dyDescent="0.25">
      <c r="A546" s="8">
        <v>2003</v>
      </c>
      <c r="B546" s="10" t="s">
        <v>892</v>
      </c>
      <c r="C546" s="97" t="s">
        <v>1216</v>
      </c>
      <c r="D546" s="214">
        <v>11980</v>
      </c>
      <c r="E546" s="215">
        <f t="shared" si="8"/>
        <v>2</v>
      </c>
      <c r="F546" s="10">
        <v>1</v>
      </c>
      <c r="G546" s="10">
        <v>0</v>
      </c>
      <c r="H546" s="10">
        <v>0</v>
      </c>
      <c r="I546" s="216">
        <v>0</v>
      </c>
    </row>
    <row r="547" spans="1:9" x14ac:dyDescent="0.25">
      <c r="A547" s="8">
        <v>2004</v>
      </c>
      <c r="B547" s="10" t="s">
        <v>892</v>
      </c>
      <c r="C547" s="97" t="s">
        <v>1216</v>
      </c>
      <c r="D547" s="214">
        <v>12988</v>
      </c>
      <c r="E547" s="215">
        <f t="shared" si="8"/>
        <v>1</v>
      </c>
      <c r="F547" s="10">
        <v>1</v>
      </c>
      <c r="G547" s="10">
        <v>0</v>
      </c>
      <c r="H547" s="10">
        <v>0</v>
      </c>
      <c r="I547" s="216">
        <v>0</v>
      </c>
    </row>
    <row r="548" spans="1:9" x14ac:dyDescent="0.25">
      <c r="A548" s="8">
        <v>2003</v>
      </c>
      <c r="B548" s="10" t="s">
        <v>892</v>
      </c>
      <c r="C548" s="97" t="s">
        <v>1216</v>
      </c>
      <c r="D548" s="214">
        <v>10975</v>
      </c>
      <c r="E548" s="215">
        <f t="shared" si="8"/>
        <v>2</v>
      </c>
      <c r="F548" s="10">
        <v>1</v>
      </c>
      <c r="G548" s="10">
        <v>0</v>
      </c>
      <c r="H548" s="10">
        <v>0</v>
      </c>
      <c r="I548" s="216">
        <v>0</v>
      </c>
    </row>
    <row r="549" spans="1:9" x14ac:dyDescent="0.25">
      <c r="A549" s="8">
        <v>2001</v>
      </c>
      <c r="B549" s="10" t="s">
        <v>892</v>
      </c>
      <c r="C549" s="97" t="s">
        <v>1216</v>
      </c>
      <c r="D549" s="214">
        <v>7995</v>
      </c>
      <c r="E549" s="215">
        <f t="shared" si="8"/>
        <v>4</v>
      </c>
      <c r="F549" s="10">
        <v>1</v>
      </c>
      <c r="G549" s="10">
        <v>0</v>
      </c>
      <c r="H549" s="10">
        <v>0</v>
      </c>
      <c r="I549" s="216">
        <v>0</v>
      </c>
    </row>
    <row r="550" spans="1:9" x14ac:dyDescent="0.25">
      <c r="A550" s="8">
        <v>2003</v>
      </c>
      <c r="B550" s="10" t="s">
        <v>892</v>
      </c>
      <c r="C550" s="97" t="s">
        <v>1217</v>
      </c>
      <c r="D550" s="214">
        <v>13339</v>
      </c>
      <c r="E550" s="215">
        <f t="shared" si="8"/>
        <v>2</v>
      </c>
      <c r="F550" s="10">
        <v>1</v>
      </c>
      <c r="G550" s="10">
        <v>0</v>
      </c>
      <c r="H550" s="10">
        <v>0</v>
      </c>
      <c r="I550" s="216">
        <v>0</v>
      </c>
    </row>
    <row r="551" spans="1:9" x14ac:dyDescent="0.25">
      <c r="A551" s="8">
        <v>2002</v>
      </c>
      <c r="B551" s="10" t="s">
        <v>892</v>
      </c>
      <c r="C551" s="97" t="s">
        <v>1218</v>
      </c>
      <c r="D551" s="214">
        <v>14295</v>
      </c>
      <c r="E551" s="215">
        <f t="shared" si="8"/>
        <v>3</v>
      </c>
      <c r="F551" s="10">
        <v>1</v>
      </c>
      <c r="G551" s="10">
        <v>0</v>
      </c>
      <c r="H551" s="10">
        <v>0</v>
      </c>
      <c r="I551" s="216">
        <v>0</v>
      </c>
    </row>
    <row r="552" spans="1:9" x14ac:dyDescent="0.25">
      <c r="A552" s="8">
        <v>2002</v>
      </c>
      <c r="B552" s="10" t="s">
        <v>892</v>
      </c>
      <c r="C552" s="97" t="s">
        <v>1218</v>
      </c>
      <c r="D552" s="214">
        <v>8995</v>
      </c>
      <c r="E552" s="215">
        <f t="shared" si="8"/>
        <v>3</v>
      </c>
      <c r="F552" s="10">
        <v>1</v>
      </c>
      <c r="G552" s="10">
        <v>0</v>
      </c>
      <c r="H552" s="10">
        <v>0</v>
      </c>
      <c r="I552" s="216">
        <v>0</v>
      </c>
    </row>
    <row r="553" spans="1:9" x14ac:dyDescent="0.25">
      <c r="A553" s="8">
        <v>1999</v>
      </c>
      <c r="B553" s="10" t="s">
        <v>892</v>
      </c>
      <c r="C553" s="97" t="s">
        <v>1219</v>
      </c>
      <c r="D553" s="214">
        <v>8580</v>
      </c>
      <c r="E553" s="215">
        <f t="shared" si="8"/>
        <v>6</v>
      </c>
      <c r="F553" s="10">
        <v>1</v>
      </c>
      <c r="G553" s="10">
        <v>0</v>
      </c>
      <c r="H553" s="10">
        <v>0</v>
      </c>
      <c r="I553" s="216">
        <v>0</v>
      </c>
    </row>
    <row r="554" spans="1:9" x14ac:dyDescent="0.25">
      <c r="A554" s="8">
        <v>2002</v>
      </c>
      <c r="B554" s="10" t="s">
        <v>892</v>
      </c>
      <c r="C554" s="97" t="s">
        <v>1220</v>
      </c>
      <c r="D554" s="214">
        <v>12995</v>
      </c>
      <c r="E554" s="215">
        <f t="shared" si="8"/>
        <v>3</v>
      </c>
      <c r="F554" s="10">
        <v>1</v>
      </c>
      <c r="G554" s="10">
        <v>0</v>
      </c>
      <c r="H554" s="10">
        <v>0</v>
      </c>
      <c r="I554" s="216">
        <v>0</v>
      </c>
    </row>
    <row r="555" spans="1:9" x14ac:dyDescent="0.25">
      <c r="A555" s="8">
        <v>1982</v>
      </c>
      <c r="B555" s="10" t="s">
        <v>892</v>
      </c>
      <c r="C555" s="97" t="s">
        <v>1221</v>
      </c>
      <c r="D555" s="214">
        <v>4975</v>
      </c>
      <c r="E555" s="215">
        <f t="shared" si="8"/>
        <v>23</v>
      </c>
      <c r="F555" s="10">
        <v>1</v>
      </c>
      <c r="G555" s="10">
        <v>0</v>
      </c>
      <c r="H555" s="10">
        <v>0</v>
      </c>
      <c r="I555" s="216">
        <v>0</v>
      </c>
    </row>
    <row r="556" spans="1:9" x14ac:dyDescent="0.25">
      <c r="A556" s="8">
        <v>2003</v>
      </c>
      <c r="B556" s="10" t="s">
        <v>892</v>
      </c>
      <c r="C556" s="97" t="s">
        <v>1222</v>
      </c>
      <c r="D556" s="214">
        <v>27995</v>
      </c>
      <c r="E556" s="215">
        <f t="shared" si="8"/>
        <v>2</v>
      </c>
      <c r="F556" s="10">
        <v>1</v>
      </c>
      <c r="G556" s="10">
        <v>0</v>
      </c>
      <c r="H556" s="10">
        <v>0</v>
      </c>
      <c r="I556" s="216">
        <v>0</v>
      </c>
    </row>
    <row r="557" spans="1:9" x14ac:dyDescent="0.25">
      <c r="A557" s="8">
        <v>2002</v>
      </c>
      <c r="B557" s="10" t="s">
        <v>889</v>
      </c>
      <c r="C557" s="97" t="s">
        <v>1223</v>
      </c>
      <c r="D557" s="214">
        <v>14676</v>
      </c>
      <c r="E557" s="215">
        <f t="shared" si="8"/>
        <v>3</v>
      </c>
      <c r="F557" s="10">
        <v>0</v>
      </c>
      <c r="G557" s="10">
        <v>0</v>
      </c>
      <c r="H557" s="10">
        <v>0</v>
      </c>
      <c r="I557" s="216">
        <v>1</v>
      </c>
    </row>
    <row r="558" spans="1:9" x14ac:dyDescent="0.25">
      <c r="A558" s="8">
        <v>2002</v>
      </c>
      <c r="B558" s="10" t="s">
        <v>889</v>
      </c>
      <c r="C558" s="97" t="s">
        <v>1224</v>
      </c>
      <c r="D558" s="214">
        <v>13788</v>
      </c>
      <c r="E558" s="215">
        <f t="shared" si="8"/>
        <v>3</v>
      </c>
      <c r="F558" s="10">
        <v>0</v>
      </c>
      <c r="G558" s="10">
        <v>0</v>
      </c>
      <c r="H558" s="10">
        <v>0</v>
      </c>
      <c r="I558" s="216">
        <v>1</v>
      </c>
    </row>
    <row r="559" spans="1:9" x14ac:dyDescent="0.25">
      <c r="A559" s="8">
        <v>2003</v>
      </c>
      <c r="B559" s="10" t="s">
        <v>889</v>
      </c>
      <c r="C559" s="97" t="s">
        <v>1225</v>
      </c>
      <c r="D559" s="214">
        <v>14695</v>
      </c>
      <c r="E559" s="215">
        <f t="shared" si="8"/>
        <v>2</v>
      </c>
      <c r="F559" s="10">
        <v>0</v>
      </c>
      <c r="G559" s="10">
        <v>0</v>
      </c>
      <c r="H559" s="10">
        <v>0</v>
      </c>
      <c r="I559" s="216">
        <v>1</v>
      </c>
    </row>
    <row r="560" spans="1:9" x14ac:dyDescent="0.25">
      <c r="A560" s="8">
        <v>1999</v>
      </c>
      <c r="B560" s="10" t="s">
        <v>889</v>
      </c>
      <c r="C560" s="97" t="s">
        <v>1225</v>
      </c>
      <c r="D560" s="214">
        <v>9495</v>
      </c>
      <c r="E560" s="215">
        <f t="shared" si="8"/>
        <v>6</v>
      </c>
      <c r="F560" s="10">
        <v>0</v>
      </c>
      <c r="G560" s="10">
        <v>0</v>
      </c>
      <c r="H560" s="10">
        <v>0</v>
      </c>
      <c r="I560" s="216">
        <v>1</v>
      </c>
    </row>
    <row r="561" spans="1:9" x14ac:dyDescent="0.25">
      <c r="A561" s="8">
        <v>2003</v>
      </c>
      <c r="B561" s="10" t="s">
        <v>889</v>
      </c>
      <c r="C561" s="97" t="s">
        <v>1226</v>
      </c>
      <c r="D561" s="214">
        <v>13990</v>
      </c>
      <c r="E561" s="215">
        <f t="shared" si="8"/>
        <v>2</v>
      </c>
      <c r="F561" s="10">
        <v>0</v>
      </c>
      <c r="G561" s="10">
        <v>0</v>
      </c>
      <c r="H561" s="10">
        <v>0</v>
      </c>
      <c r="I561" s="216">
        <v>1</v>
      </c>
    </row>
    <row r="562" spans="1:9" x14ac:dyDescent="0.25">
      <c r="A562" s="8">
        <v>2002</v>
      </c>
      <c r="B562" s="10" t="s">
        <v>889</v>
      </c>
      <c r="C562" s="97" t="s">
        <v>1226</v>
      </c>
      <c r="D562" s="214">
        <v>17876</v>
      </c>
      <c r="E562" s="215">
        <f t="shared" si="8"/>
        <v>3</v>
      </c>
      <c r="F562" s="10">
        <v>0</v>
      </c>
      <c r="G562" s="10">
        <v>0</v>
      </c>
      <c r="H562" s="10">
        <v>0</v>
      </c>
      <c r="I562" s="216">
        <v>1</v>
      </c>
    </row>
    <row r="563" spans="1:9" x14ac:dyDescent="0.25">
      <c r="A563" s="8">
        <v>1999</v>
      </c>
      <c r="B563" s="10" t="s">
        <v>889</v>
      </c>
      <c r="C563" s="97" t="s">
        <v>1227</v>
      </c>
      <c r="D563" s="214">
        <v>7500</v>
      </c>
      <c r="E563" s="215">
        <f t="shared" si="8"/>
        <v>6</v>
      </c>
      <c r="F563" s="10">
        <v>0</v>
      </c>
      <c r="G563" s="10">
        <v>0</v>
      </c>
      <c r="H563" s="10">
        <v>0</v>
      </c>
      <c r="I563" s="216">
        <v>1</v>
      </c>
    </row>
    <row r="564" spans="1:9" x14ac:dyDescent="0.25">
      <c r="A564" s="8">
        <v>2002</v>
      </c>
      <c r="B564" s="10" t="s">
        <v>889</v>
      </c>
      <c r="C564" s="97" t="s">
        <v>1227</v>
      </c>
      <c r="D564" s="214">
        <v>18750</v>
      </c>
      <c r="E564" s="215">
        <f t="shared" si="8"/>
        <v>3</v>
      </c>
      <c r="F564" s="10">
        <v>0</v>
      </c>
      <c r="G564" s="10">
        <v>0</v>
      </c>
      <c r="H564" s="10">
        <v>0</v>
      </c>
      <c r="I564" s="216">
        <v>1</v>
      </c>
    </row>
    <row r="565" spans="1:9" x14ac:dyDescent="0.25">
      <c r="A565" s="8">
        <v>1999</v>
      </c>
      <c r="B565" s="10" t="s">
        <v>889</v>
      </c>
      <c r="C565" s="97" t="s">
        <v>1228</v>
      </c>
      <c r="D565" s="214">
        <v>6996</v>
      </c>
      <c r="E565" s="215">
        <f t="shared" si="8"/>
        <v>6</v>
      </c>
      <c r="F565" s="10">
        <v>0</v>
      </c>
      <c r="G565" s="10">
        <v>0</v>
      </c>
      <c r="H565" s="10">
        <v>0</v>
      </c>
      <c r="I565" s="216">
        <v>1</v>
      </c>
    </row>
    <row r="566" spans="1:9" x14ac:dyDescent="0.25">
      <c r="A566" s="8">
        <v>2002</v>
      </c>
      <c r="B566" s="10" t="s">
        <v>828</v>
      </c>
      <c r="C566" s="97" t="s">
        <v>1229</v>
      </c>
      <c r="D566" s="214">
        <v>7995</v>
      </c>
      <c r="E566" s="215">
        <f t="shared" si="8"/>
        <v>3</v>
      </c>
      <c r="F566" s="10">
        <v>0</v>
      </c>
      <c r="G566" s="10">
        <v>0</v>
      </c>
      <c r="H566" s="10">
        <v>1</v>
      </c>
      <c r="I566" s="216">
        <v>0</v>
      </c>
    </row>
    <row r="567" spans="1:9" x14ac:dyDescent="0.25">
      <c r="A567" s="8">
        <v>2002</v>
      </c>
      <c r="B567" s="10" t="s">
        <v>828</v>
      </c>
      <c r="C567" s="97" t="s">
        <v>1230</v>
      </c>
      <c r="D567" s="214">
        <v>11995</v>
      </c>
      <c r="E567" s="215">
        <f t="shared" si="8"/>
        <v>3</v>
      </c>
      <c r="F567" s="10">
        <v>0</v>
      </c>
      <c r="G567" s="10">
        <v>0</v>
      </c>
      <c r="H567" s="10">
        <v>1</v>
      </c>
      <c r="I567" s="216">
        <v>0</v>
      </c>
    </row>
    <row r="568" spans="1:9" x14ac:dyDescent="0.25">
      <c r="A568" s="8">
        <v>2001</v>
      </c>
      <c r="B568" s="10" t="s">
        <v>828</v>
      </c>
      <c r="C568" s="97" t="s">
        <v>1231</v>
      </c>
      <c r="D568" s="214">
        <v>9995</v>
      </c>
      <c r="E568" s="215">
        <f t="shared" si="8"/>
        <v>4</v>
      </c>
      <c r="F568" s="10">
        <v>0</v>
      </c>
      <c r="G568" s="10">
        <v>0</v>
      </c>
      <c r="H568" s="10">
        <v>1</v>
      </c>
      <c r="I568" s="216">
        <v>0</v>
      </c>
    </row>
    <row r="569" spans="1:9" x14ac:dyDescent="0.25">
      <c r="A569" s="8">
        <v>2001</v>
      </c>
      <c r="B569" s="10" t="s">
        <v>828</v>
      </c>
      <c r="C569" s="97" t="s">
        <v>1232</v>
      </c>
      <c r="D569" s="214">
        <v>8995</v>
      </c>
      <c r="E569" s="215">
        <f t="shared" si="8"/>
        <v>4</v>
      </c>
      <c r="F569" s="10">
        <v>0</v>
      </c>
      <c r="G569" s="10">
        <v>0</v>
      </c>
      <c r="H569" s="10">
        <v>1</v>
      </c>
      <c r="I569" s="216">
        <v>0</v>
      </c>
    </row>
    <row r="570" spans="1:9" x14ac:dyDescent="0.25">
      <c r="A570" s="8">
        <v>2000</v>
      </c>
      <c r="B570" s="10" t="s">
        <v>828</v>
      </c>
      <c r="C570" s="97" t="s">
        <v>1232</v>
      </c>
      <c r="D570" s="214">
        <v>8995</v>
      </c>
      <c r="E570" s="215">
        <f t="shared" si="8"/>
        <v>5</v>
      </c>
      <c r="F570" s="10">
        <v>0</v>
      </c>
      <c r="G570" s="10">
        <v>0</v>
      </c>
      <c r="H570" s="10">
        <v>1</v>
      </c>
      <c r="I570" s="216">
        <v>0</v>
      </c>
    </row>
    <row r="571" spans="1:9" x14ac:dyDescent="0.25">
      <c r="A571" s="8">
        <v>1999</v>
      </c>
      <c r="B571" s="10" t="s">
        <v>828</v>
      </c>
      <c r="C571" s="97" t="s">
        <v>1233</v>
      </c>
      <c r="D571" s="214">
        <v>5995</v>
      </c>
      <c r="E571" s="215">
        <f t="shared" si="8"/>
        <v>6</v>
      </c>
      <c r="F571" s="10">
        <v>0</v>
      </c>
      <c r="G571" s="10">
        <v>0</v>
      </c>
      <c r="H571" s="10">
        <v>1</v>
      </c>
      <c r="I571" s="216">
        <v>0</v>
      </c>
    </row>
    <row r="572" spans="1:9" x14ac:dyDescent="0.25">
      <c r="A572" s="8">
        <v>2001</v>
      </c>
      <c r="B572" s="10" t="s">
        <v>828</v>
      </c>
      <c r="C572" s="97" t="s">
        <v>1234</v>
      </c>
      <c r="D572" s="214">
        <v>11988</v>
      </c>
      <c r="E572" s="215">
        <f t="shared" si="8"/>
        <v>4</v>
      </c>
      <c r="F572" s="10">
        <v>0</v>
      </c>
      <c r="G572" s="10">
        <v>0</v>
      </c>
      <c r="H572" s="10">
        <v>1</v>
      </c>
      <c r="I572" s="216">
        <v>0</v>
      </c>
    </row>
    <row r="573" spans="1:9" x14ac:dyDescent="0.25">
      <c r="A573" s="8">
        <v>2002</v>
      </c>
      <c r="B573" s="10" t="s">
        <v>828</v>
      </c>
      <c r="C573" s="97" t="s">
        <v>1235</v>
      </c>
      <c r="D573" s="214">
        <v>11988</v>
      </c>
      <c r="E573" s="215">
        <f t="shared" si="8"/>
        <v>3</v>
      </c>
      <c r="F573" s="10">
        <v>0</v>
      </c>
      <c r="G573" s="10">
        <v>0</v>
      </c>
      <c r="H573" s="10">
        <v>1</v>
      </c>
      <c r="I573" s="216">
        <v>0</v>
      </c>
    </row>
    <row r="574" spans="1:9" x14ac:dyDescent="0.25">
      <c r="A574" s="8">
        <v>2002</v>
      </c>
      <c r="B574" s="10" t="s">
        <v>828</v>
      </c>
      <c r="C574" s="97" t="s">
        <v>1236</v>
      </c>
      <c r="D574" s="214">
        <v>11995</v>
      </c>
      <c r="E574" s="215">
        <f t="shared" si="8"/>
        <v>3</v>
      </c>
      <c r="F574" s="10">
        <v>0</v>
      </c>
      <c r="G574" s="10">
        <v>0</v>
      </c>
      <c r="H574" s="10">
        <v>1</v>
      </c>
      <c r="I574" s="216">
        <v>0</v>
      </c>
    </row>
    <row r="575" spans="1:9" x14ac:dyDescent="0.25">
      <c r="A575" s="8">
        <v>2004</v>
      </c>
      <c r="B575" s="10" t="s">
        <v>828</v>
      </c>
      <c r="C575" s="97" t="s">
        <v>1237</v>
      </c>
      <c r="D575" s="214">
        <v>21511</v>
      </c>
      <c r="E575" s="215">
        <f t="shared" si="8"/>
        <v>1</v>
      </c>
      <c r="F575" s="10">
        <v>0</v>
      </c>
      <c r="G575" s="10">
        <v>0</v>
      </c>
      <c r="H575" s="10">
        <v>1</v>
      </c>
      <c r="I575" s="216">
        <v>0</v>
      </c>
    </row>
    <row r="576" spans="1:9" x14ac:dyDescent="0.25">
      <c r="A576" s="8">
        <v>2002</v>
      </c>
      <c r="B576" s="10" t="s">
        <v>828</v>
      </c>
      <c r="C576" s="97" t="s">
        <v>1238</v>
      </c>
      <c r="D576" s="214">
        <v>16990</v>
      </c>
      <c r="E576" s="215">
        <f t="shared" si="8"/>
        <v>3</v>
      </c>
      <c r="F576" s="10">
        <v>0</v>
      </c>
      <c r="G576" s="10">
        <v>0</v>
      </c>
      <c r="H576" s="10">
        <v>1</v>
      </c>
      <c r="I576" s="216">
        <v>0</v>
      </c>
    </row>
    <row r="577" spans="1:9" x14ac:dyDescent="0.25">
      <c r="A577" s="8">
        <v>2004</v>
      </c>
      <c r="B577" s="10" t="s">
        <v>828</v>
      </c>
      <c r="C577" s="97" t="s">
        <v>1239</v>
      </c>
      <c r="D577" s="214">
        <v>23688</v>
      </c>
      <c r="E577" s="215">
        <f t="shared" si="8"/>
        <v>1</v>
      </c>
      <c r="F577" s="10">
        <v>0</v>
      </c>
      <c r="G577" s="10">
        <v>0</v>
      </c>
      <c r="H577" s="10">
        <v>1</v>
      </c>
      <c r="I577" s="216">
        <v>0</v>
      </c>
    </row>
    <row r="578" spans="1:9" x14ac:dyDescent="0.25">
      <c r="A578" s="8">
        <v>2002</v>
      </c>
      <c r="B578" s="10" t="s">
        <v>828</v>
      </c>
      <c r="C578" s="97" t="s">
        <v>1240</v>
      </c>
      <c r="D578" s="214">
        <v>21999</v>
      </c>
      <c r="E578" s="215">
        <f t="shared" ref="E578:E638" si="9">2005-A578</f>
        <v>3</v>
      </c>
      <c r="F578" s="10">
        <v>0</v>
      </c>
      <c r="G578" s="10">
        <v>0</v>
      </c>
      <c r="H578" s="10">
        <v>1</v>
      </c>
      <c r="I578" s="216">
        <v>0</v>
      </c>
    </row>
    <row r="579" spans="1:9" x14ac:dyDescent="0.25">
      <c r="A579" s="8">
        <v>2004</v>
      </c>
      <c r="B579" s="10" t="s">
        <v>828</v>
      </c>
      <c r="C579" s="97" t="s">
        <v>1241</v>
      </c>
      <c r="D579" s="214">
        <v>26995</v>
      </c>
      <c r="E579" s="215">
        <f t="shared" si="9"/>
        <v>1</v>
      </c>
      <c r="F579" s="10">
        <v>0</v>
      </c>
      <c r="G579" s="10">
        <v>0</v>
      </c>
      <c r="H579" s="10">
        <v>1</v>
      </c>
      <c r="I579" s="216">
        <v>0</v>
      </c>
    </row>
    <row r="580" spans="1:9" x14ac:dyDescent="0.25">
      <c r="A580" s="8">
        <v>2002</v>
      </c>
      <c r="B580" s="10" t="s">
        <v>828</v>
      </c>
      <c r="C580" s="97" t="s">
        <v>1242</v>
      </c>
      <c r="D580" s="214">
        <v>14995</v>
      </c>
      <c r="E580" s="215">
        <f t="shared" si="9"/>
        <v>3</v>
      </c>
      <c r="F580" s="10">
        <v>0</v>
      </c>
      <c r="G580" s="10">
        <v>0</v>
      </c>
      <c r="H580" s="10">
        <v>1</v>
      </c>
      <c r="I580" s="216">
        <v>0</v>
      </c>
    </row>
    <row r="581" spans="1:9" x14ac:dyDescent="0.25">
      <c r="A581" s="8">
        <v>2002</v>
      </c>
      <c r="B581" s="10" t="s">
        <v>828</v>
      </c>
      <c r="C581" s="97" t="s">
        <v>1242</v>
      </c>
      <c r="D581" s="214">
        <v>16495</v>
      </c>
      <c r="E581" s="215">
        <f t="shared" si="9"/>
        <v>3</v>
      </c>
      <c r="F581" s="10">
        <v>0</v>
      </c>
      <c r="G581" s="10">
        <v>0</v>
      </c>
      <c r="H581" s="10">
        <v>1</v>
      </c>
      <c r="I581" s="216">
        <v>0</v>
      </c>
    </row>
    <row r="582" spans="1:9" x14ac:dyDescent="0.25">
      <c r="A582" s="8">
        <v>2002</v>
      </c>
      <c r="B582" s="10" t="s">
        <v>828</v>
      </c>
      <c r="C582" s="97" t="s">
        <v>1243</v>
      </c>
      <c r="D582" s="214">
        <v>15995</v>
      </c>
      <c r="E582" s="215">
        <f t="shared" si="9"/>
        <v>3</v>
      </c>
      <c r="F582" s="10">
        <v>0</v>
      </c>
      <c r="G582" s="10">
        <v>0</v>
      </c>
      <c r="H582" s="10">
        <v>1</v>
      </c>
      <c r="I582" s="216">
        <v>0</v>
      </c>
    </row>
    <row r="583" spans="1:9" x14ac:dyDescent="0.25">
      <c r="A583" s="8">
        <v>2002</v>
      </c>
      <c r="B583" s="10" t="s">
        <v>828</v>
      </c>
      <c r="C583" s="97" t="s">
        <v>1243</v>
      </c>
      <c r="D583" s="214">
        <v>16995</v>
      </c>
      <c r="E583" s="215">
        <f t="shared" si="9"/>
        <v>3</v>
      </c>
      <c r="F583" s="10">
        <v>0</v>
      </c>
      <c r="G583" s="10">
        <v>0</v>
      </c>
      <c r="H583" s="10">
        <v>1</v>
      </c>
      <c r="I583" s="216">
        <v>0</v>
      </c>
    </row>
    <row r="584" spans="1:9" x14ac:dyDescent="0.25">
      <c r="A584" s="8">
        <v>2002</v>
      </c>
      <c r="B584" s="10" t="s">
        <v>828</v>
      </c>
      <c r="C584" s="97" t="s">
        <v>1244</v>
      </c>
      <c r="D584" s="214">
        <v>15995</v>
      </c>
      <c r="E584" s="215">
        <f t="shared" si="9"/>
        <v>3</v>
      </c>
      <c r="F584" s="10">
        <v>0</v>
      </c>
      <c r="G584" s="10">
        <v>0</v>
      </c>
      <c r="H584" s="10">
        <v>1</v>
      </c>
      <c r="I584" s="216">
        <v>0</v>
      </c>
    </row>
    <row r="585" spans="1:9" x14ac:dyDescent="0.25">
      <c r="A585" s="8">
        <v>2002</v>
      </c>
      <c r="B585" s="10" t="s">
        <v>828</v>
      </c>
      <c r="C585" s="97" t="s">
        <v>1245</v>
      </c>
      <c r="D585" s="214">
        <v>16988</v>
      </c>
      <c r="E585" s="215">
        <f t="shared" si="9"/>
        <v>3</v>
      </c>
      <c r="F585" s="10">
        <v>0</v>
      </c>
      <c r="G585" s="10">
        <v>0</v>
      </c>
      <c r="H585" s="10">
        <v>1</v>
      </c>
      <c r="I585" s="216">
        <v>0</v>
      </c>
    </row>
    <row r="586" spans="1:9" x14ac:dyDescent="0.25">
      <c r="A586" s="8">
        <v>2002</v>
      </c>
      <c r="B586" s="10" t="s">
        <v>828</v>
      </c>
      <c r="C586" s="97" t="s">
        <v>1246</v>
      </c>
      <c r="D586" s="214">
        <v>15995</v>
      </c>
      <c r="E586" s="215">
        <f t="shared" si="9"/>
        <v>3</v>
      </c>
      <c r="F586" s="10">
        <v>0</v>
      </c>
      <c r="G586" s="10">
        <v>0</v>
      </c>
      <c r="H586" s="10">
        <v>1</v>
      </c>
      <c r="I586" s="216">
        <v>0</v>
      </c>
    </row>
    <row r="587" spans="1:9" x14ac:dyDescent="0.25">
      <c r="A587" s="8">
        <v>2002</v>
      </c>
      <c r="B587" s="10" t="s">
        <v>828</v>
      </c>
      <c r="C587" s="97" t="s">
        <v>1247</v>
      </c>
      <c r="D587" s="214">
        <v>14995</v>
      </c>
      <c r="E587" s="215">
        <f t="shared" si="9"/>
        <v>3</v>
      </c>
      <c r="F587" s="10">
        <v>0</v>
      </c>
      <c r="G587" s="10">
        <v>0</v>
      </c>
      <c r="H587" s="10">
        <v>1</v>
      </c>
      <c r="I587" s="216">
        <v>0</v>
      </c>
    </row>
    <row r="588" spans="1:9" x14ac:dyDescent="0.25">
      <c r="A588" s="8">
        <v>2002</v>
      </c>
      <c r="B588" s="10" t="s">
        <v>828</v>
      </c>
      <c r="C588" s="97" t="s">
        <v>1248</v>
      </c>
      <c r="D588" s="214">
        <v>16995</v>
      </c>
      <c r="E588" s="215">
        <f t="shared" si="9"/>
        <v>3</v>
      </c>
      <c r="F588" s="10">
        <v>0</v>
      </c>
      <c r="G588" s="10">
        <v>0</v>
      </c>
      <c r="H588" s="10">
        <v>1</v>
      </c>
      <c r="I588" s="216">
        <v>0</v>
      </c>
    </row>
    <row r="589" spans="1:9" x14ac:dyDescent="0.25">
      <c r="A589" s="8">
        <v>2002</v>
      </c>
      <c r="B589" s="10" t="s">
        <v>828</v>
      </c>
      <c r="C589" s="97" t="s">
        <v>1249</v>
      </c>
      <c r="D589" s="214">
        <v>17995</v>
      </c>
      <c r="E589" s="215">
        <f t="shared" si="9"/>
        <v>3</v>
      </c>
      <c r="F589" s="10">
        <v>0</v>
      </c>
      <c r="G589" s="10">
        <v>0</v>
      </c>
      <c r="H589" s="10">
        <v>1</v>
      </c>
      <c r="I589" s="216">
        <v>0</v>
      </c>
    </row>
    <row r="590" spans="1:9" x14ac:dyDescent="0.25">
      <c r="A590" s="8">
        <v>2002</v>
      </c>
      <c r="B590" s="10" t="s">
        <v>828</v>
      </c>
      <c r="C590" s="97" t="s">
        <v>1249</v>
      </c>
      <c r="D590" s="214">
        <v>16999</v>
      </c>
      <c r="E590" s="215">
        <f t="shared" si="9"/>
        <v>3</v>
      </c>
      <c r="F590" s="10">
        <v>0</v>
      </c>
      <c r="G590" s="10">
        <v>0</v>
      </c>
      <c r="H590" s="10">
        <v>1</v>
      </c>
      <c r="I590" s="216">
        <v>0</v>
      </c>
    </row>
    <row r="591" spans="1:9" x14ac:dyDescent="0.25">
      <c r="A591" s="8">
        <v>2002</v>
      </c>
      <c r="B591" s="10" t="s">
        <v>828</v>
      </c>
      <c r="C591" s="97" t="s">
        <v>1249</v>
      </c>
      <c r="D591" s="214">
        <v>17995</v>
      </c>
      <c r="E591" s="215">
        <f t="shared" si="9"/>
        <v>3</v>
      </c>
      <c r="F591" s="10">
        <v>0</v>
      </c>
      <c r="G591" s="10">
        <v>0</v>
      </c>
      <c r="H591" s="10">
        <v>1</v>
      </c>
      <c r="I591" s="216">
        <v>0</v>
      </c>
    </row>
    <row r="592" spans="1:9" x14ac:dyDescent="0.25">
      <c r="A592" s="8">
        <v>2002</v>
      </c>
      <c r="B592" s="10" t="s">
        <v>828</v>
      </c>
      <c r="C592" s="97" t="s">
        <v>1250</v>
      </c>
      <c r="D592" s="214">
        <v>18688</v>
      </c>
      <c r="E592" s="215">
        <f t="shared" si="9"/>
        <v>3</v>
      </c>
      <c r="F592" s="10">
        <v>0</v>
      </c>
      <c r="G592" s="10">
        <v>0</v>
      </c>
      <c r="H592" s="10">
        <v>1</v>
      </c>
      <c r="I592" s="216">
        <v>0</v>
      </c>
    </row>
    <row r="593" spans="1:9" x14ac:dyDescent="0.25">
      <c r="A593" s="8">
        <v>2003</v>
      </c>
      <c r="B593" s="10" t="s">
        <v>828</v>
      </c>
      <c r="C593" s="97" t="s">
        <v>1251</v>
      </c>
      <c r="D593" s="214">
        <v>20795</v>
      </c>
      <c r="E593" s="215">
        <f t="shared" si="9"/>
        <v>2</v>
      </c>
      <c r="F593" s="10">
        <v>0</v>
      </c>
      <c r="G593" s="10">
        <v>0</v>
      </c>
      <c r="H593" s="10">
        <v>1</v>
      </c>
      <c r="I593" s="216">
        <v>0</v>
      </c>
    </row>
    <row r="594" spans="1:9" x14ac:dyDescent="0.25">
      <c r="A594" s="8">
        <v>2002</v>
      </c>
      <c r="B594" s="10" t="s">
        <v>828</v>
      </c>
      <c r="C594" s="97" t="s">
        <v>1252</v>
      </c>
      <c r="D594" s="214">
        <v>18295</v>
      </c>
      <c r="E594" s="215">
        <f t="shared" si="9"/>
        <v>3</v>
      </c>
      <c r="F594" s="10">
        <v>0</v>
      </c>
      <c r="G594" s="10">
        <v>0</v>
      </c>
      <c r="H594" s="10">
        <v>1</v>
      </c>
      <c r="I594" s="216">
        <v>0</v>
      </c>
    </row>
    <row r="595" spans="1:9" x14ac:dyDescent="0.25">
      <c r="A595" s="8">
        <v>2002</v>
      </c>
      <c r="B595" s="10" t="s">
        <v>828</v>
      </c>
      <c r="C595" s="97" t="s">
        <v>1253</v>
      </c>
      <c r="D595" s="214">
        <v>17995</v>
      </c>
      <c r="E595" s="215">
        <f t="shared" si="9"/>
        <v>3</v>
      </c>
      <c r="F595" s="10">
        <v>0</v>
      </c>
      <c r="G595" s="10">
        <v>0</v>
      </c>
      <c r="H595" s="10">
        <v>1</v>
      </c>
      <c r="I595" s="216">
        <v>0</v>
      </c>
    </row>
    <row r="596" spans="1:9" x14ac:dyDescent="0.25">
      <c r="A596" s="8">
        <v>2003</v>
      </c>
      <c r="B596" s="10" t="s">
        <v>828</v>
      </c>
      <c r="C596" s="97" t="s">
        <v>1254</v>
      </c>
      <c r="D596" s="214">
        <v>18995</v>
      </c>
      <c r="E596" s="215">
        <f t="shared" si="9"/>
        <v>2</v>
      </c>
      <c r="F596" s="10">
        <v>0</v>
      </c>
      <c r="G596" s="10">
        <v>0</v>
      </c>
      <c r="H596" s="10">
        <v>1</v>
      </c>
      <c r="I596" s="216">
        <v>0</v>
      </c>
    </row>
    <row r="597" spans="1:9" x14ac:dyDescent="0.25">
      <c r="A597" s="8">
        <v>2002</v>
      </c>
      <c r="B597" s="10" t="s">
        <v>828</v>
      </c>
      <c r="C597" s="97" t="s">
        <v>1255</v>
      </c>
      <c r="D597" s="214">
        <v>19474</v>
      </c>
      <c r="E597" s="215">
        <f t="shared" si="9"/>
        <v>3</v>
      </c>
      <c r="F597" s="10">
        <v>0</v>
      </c>
      <c r="G597" s="10">
        <v>0</v>
      </c>
      <c r="H597" s="10">
        <v>1</v>
      </c>
      <c r="I597" s="216">
        <v>0</v>
      </c>
    </row>
    <row r="598" spans="1:9" x14ac:dyDescent="0.25">
      <c r="A598" s="8">
        <v>2002</v>
      </c>
      <c r="B598" s="10" t="s">
        <v>828</v>
      </c>
      <c r="C598" s="97" t="s">
        <v>1256</v>
      </c>
      <c r="D598" s="214">
        <v>21995</v>
      </c>
      <c r="E598" s="215">
        <f t="shared" si="9"/>
        <v>3</v>
      </c>
      <c r="F598" s="10">
        <v>0</v>
      </c>
      <c r="G598" s="10">
        <v>0</v>
      </c>
      <c r="H598" s="10">
        <v>1</v>
      </c>
      <c r="I598" s="216">
        <v>0</v>
      </c>
    </row>
    <row r="599" spans="1:9" x14ac:dyDescent="0.25">
      <c r="A599" s="8">
        <v>2002</v>
      </c>
      <c r="B599" s="10" t="s">
        <v>828</v>
      </c>
      <c r="C599" s="97" t="s">
        <v>1257</v>
      </c>
      <c r="D599" s="214">
        <v>17769</v>
      </c>
      <c r="E599" s="215">
        <f t="shared" si="9"/>
        <v>3</v>
      </c>
      <c r="F599" s="10">
        <v>0</v>
      </c>
      <c r="G599" s="10">
        <v>0</v>
      </c>
      <c r="H599" s="10">
        <v>1</v>
      </c>
      <c r="I599" s="216">
        <v>0</v>
      </c>
    </row>
    <row r="600" spans="1:9" x14ac:dyDescent="0.25">
      <c r="A600" s="8">
        <v>2002</v>
      </c>
      <c r="B600" s="10" t="s">
        <v>828</v>
      </c>
      <c r="C600" s="97" t="s">
        <v>1258</v>
      </c>
      <c r="D600" s="214">
        <v>16495</v>
      </c>
      <c r="E600" s="215">
        <f t="shared" si="9"/>
        <v>3</v>
      </c>
      <c r="F600" s="10">
        <v>0</v>
      </c>
      <c r="G600" s="10">
        <v>0</v>
      </c>
      <c r="H600" s="10">
        <v>1</v>
      </c>
      <c r="I600" s="216">
        <v>0</v>
      </c>
    </row>
    <row r="601" spans="1:9" x14ac:dyDescent="0.25">
      <c r="A601" s="8">
        <v>2002</v>
      </c>
      <c r="B601" s="10" t="s">
        <v>828</v>
      </c>
      <c r="C601" s="97" t="s">
        <v>1259</v>
      </c>
      <c r="D601" s="214">
        <v>13995</v>
      </c>
      <c r="E601" s="215">
        <f t="shared" si="9"/>
        <v>3</v>
      </c>
      <c r="F601" s="10">
        <v>0</v>
      </c>
      <c r="G601" s="10">
        <v>0</v>
      </c>
      <c r="H601" s="10">
        <v>1</v>
      </c>
      <c r="I601" s="216">
        <v>0</v>
      </c>
    </row>
    <row r="602" spans="1:9" x14ac:dyDescent="0.25">
      <c r="A602" s="8">
        <v>2002</v>
      </c>
      <c r="B602" s="10" t="s">
        <v>828</v>
      </c>
      <c r="C602" s="97" t="s">
        <v>1260</v>
      </c>
      <c r="D602" s="214">
        <v>10988</v>
      </c>
      <c r="E602" s="215">
        <f t="shared" si="9"/>
        <v>3</v>
      </c>
      <c r="F602" s="10">
        <v>0</v>
      </c>
      <c r="G602" s="10">
        <v>0</v>
      </c>
      <c r="H602" s="10">
        <v>0</v>
      </c>
      <c r="I602" s="216">
        <v>1</v>
      </c>
    </row>
    <row r="603" spans="1:9" x14ac:dyDescent="0.25">
      <c r="A603" s="8">
        <v>2002</v>
      </c>
      <c r="B603" s="10" t="s">
        <v>828</v>
      </c>
      <c r="C603" s="97" t="s">
        <v>1261</v>
      </c>
      <c r="D603" s="214">
        <v>16900</v>
      </c>
      <c r="E603" s="215">
        <f t="shared" si="9"/>
        <v>3</v>
      </c>
      <c r="F603" s="10">
        <v>0</v>
      </c>
      <c r="G603" s="10">
        <v>0</v>
      </c>
      <c r="H603" s="10">
        <v>0</v>
      </c>
      <c r="I603" s="216">
        <v>1</v>
      </c>
    </row>
    <row r="604" spans="1:9" x14ac:dyDescent="0.25">
      <c r="A604" s="8">
        <v>2001</v>
      </c>
      <c r="B604" s="10" t="s">
        <v>828</v>
      </c>
      <c r="C604" s="97" t="s">
        <v>1261</v>
      </c>
      <c r="D604" s="214">
        <v>8900</v>
      </c>
      <c r="E604" s="215">
        <f t="shared" si="9"/>
        <v>4</v>
      </c>
      <c r="F604" s="10">
        <v>0</v>
      </c>
      <c r="G604" s="10">
        <v>0</v>
      </c>
      <c r="H604" s="10">
        <v>0</v>
      </c>
      <c r="I604" s="216">
        <v>1</v>
      </c>
    </row>
    <row r="605" spans="1:9" x14ac:dyDescent="0.25">
      <c r="A605" s="8">
        <v>1997</v>
      </c>
      <c r="B605" s="10" t="s">
        <v>828</v>
      </c>
      <c r="C605" s="97" t="s">
        <v>1262</v>
      </c>
      <c r="D605" s="214">
        <v>6995</v>
      </c>
      <c r="E605" s="215">
        <f t="shared" si="9"/>
        <v>8</v>
      </c>
      <c r="F605" s="10">
        <v>0</v>
      </c>
      <c r="G605" s="10">
        <v>0</v>
      </c>
      <c r="H605" s="10">
        <v>0</v>
      </c>
      <c r="I605" s="216">
        <v>1</v>
      </c>
    </row>
    <row r="606" spans="1:9" x14ac:dyDescent="0.25">
      <c r="A606" s="8">
        <v>1999</v>
      </c>
      <c r="B606" s="10" t="s">
        <v>828</v>
      </c>
      <c r="C606" s="97" t="s">
        <v>1263</v>
      </c>
      <c r="D606" s="214">
        <v>8900</v>
      </c>
      <c r="E606" s="215">
        <f t="shared" si="9"/>
        <v>6</v>
      </c>
      <c r="F606" s="10">
        <v>0</v>
      </c>
      <c r="G606" s="10">
        <v>0</v>
      </c>
      <c r="H606" s="10">
        <v>0</v>
      </c>
      <c r="I606" s="216">
        <v>1</v>
      </c>
    </row>
    <row r="607" spans="1:9" x14ac:dyDescent="0.25">
      <c r="A607" s="8">
        <v>2002</v>
      </c>
      <c r="B607" s="10" t="s">
        <v>828</v>
      </c>
      <c r="C607" s="97" t="s">
        <v>1264</v>
      </c>
      <c r="D607" s="214">
        <v>13987</v>
      </c>
      <c r="E607" s="215">
        <f t="shared" si="9"/>
        <v>3</v>
      </c>
      <c r="F607" s="10">
        <v>0</v>
      </c>
      <c r="G607" s="10">
        <v>0</v>
      </c>
      <c r="H607" s="10">
        <v>0</v>
      </c>
      <c r="I607" s="216">
        <v>1</v>
      </c>
    </row>
    <row r="608" spans="1:9" x14ac:dyDescent="0.25">
      <c r="A608" s="8">
        <v>2002</v>
      </c>
      <c r="B608" s="10" t="s">
        <v>828</v>
      </c>
      <c r="C608" s="97" t="s">
        <v>1264</v>
      </c>
      <c r="D608" s="214">
        <v>12995</v>
      </c>
      <c r="E608" s="215">
        <f t="shared" si="9"/>
        <v>3</v>
      </c>
      <c r="F608" s="10">
        <v>0</v>
      </c>
      <c r="G608" s="10">
        <v>0</v>
      </c>
      <c r="H608" s="10">
        <v>0</v>
      </c>
      <c r="I608" s="216">
        <v>1</v>
      </c>
    </row>
    <row r="609" spans="1:9" x14ac:dyDescent="0.25">
      <c r="A609" s="8">
        <v>2004</v>
      </c>
      <c r="B609" s="10" t="s">
        <v>828</v>
      </c>
      <c r="C609" s="97" t="s">
        <v>1265</v>
      </c>
      <c r="D609" s="214">
        <v>16988</v>
      </c>
      <c r="E609" s="215">
        <f t="shared" si="9"/>
        <v>1</v>
      </c>
      <c r="F609" s="10">
        <v>0</v>
      </c>
      <c r="G609" s="10">
        <v>0</v>
      </c>
      <c r="H609" s="10">
        <v>0</v>
      </c>
      <c r="I609" s="216">
        <v>1</v>
      </c>
    </row>
    <row r="610" spans="1:9" x14ac:dyDescent="0.25">
      <c r="A610" s="8">
        <v>2001</v>
      </c>
      <c r="B610" s="10" t="s">
        <v>828</v>
      </c>
      <c r="C610" s="97" t="s">
        <v>1266</v>
      </c>
      <c r="D610" s="214">
        <v>12499</v>
      </c>
      <c r="E610" s="215">
        <f t="shared" si="9"/>
        <v>4</v>
      </c>
      <c r="F610" s="10">
        <v>0</v>
      </c>
      <c r="G610" s="10">
        <v>0</v>
      </c>
      <c r="H610" s="10">
        <v>0</v>
      </c>
      <c r="I610" s="216">
        <v>1</v>
      </c>
    </row>
    <row r="611" spans="1:9" x14ac:dyDescent="0.25">
      <c r="A611" s="8">
        <v>2001</v>
      </c>
      <c r="B611" s="10" t="s">
        <v>828</v>
      </c>
      <c r="C611" s="97" t="s">
        <v>1267</v>
      </c>
      <c r="D611" s="214">
        <v>11995</v>
      </c>
      <c r="E611" s="215">
        <f t="shared" si="9"/>
        <v>4</v>
      </c>
      <c r="F611" s="10">
        <v>0</v>
      </c>
      <c r="G611" s="10">
        <v>0</v>
      </c>
      <c r="H611" s="10">
        <v>0</v>
      </c>
      <c r="I611" s="216">
        <v>1</v>
      </c>
    </row>
    <row r="612" spans="1:9" x14ac:dyDescent="0.25">
      <c r="A612" s="8">
        <v>2002</v>
      </c>
      <c r="B612" s="10" t="s">
        <v>889</v>
      </c>
      <c r="C612" s="97" t="s">
        <v>1268</v>
      </c>
      <c r="D612" s="214">
        <v>11990</v>
      </c>
      <c r="E612" s="215">
        <f t="shared" si="9"/>
        <v>3</v>
      </c>
      <c r="F612" s="10">
        <v>0</v>
      </c>
      <c r="G612" s="10">
        <v>0</v>
      </c>
      <c r="H612" s="10">
        <v>0</v>
      </c>
      <c r="I612" s="216">
        <v>1</v>
      </c>
    </row>
    <row r="613" spans="1:9" x14ac:dyDescent="0.25">
      <c r="A613" s="8">
        <v>2000</v>
      </c>
      <c r="B613" s="10" t="s">
        <v>892</v>
      </c>
      <c r="C613" s="97" t="s">
        <v>1269</v>
      </c>
      <c r="D613" s="214">
        <v>8980</v>
      </c>
      <c r="E613" s="215">
        <f t="shared" si="9"/>
        <v>5</v>
      </c>
      <c r="F613" s="10">
        <v>0</v>
      </c>
      <c r="G613" s="10">
        <v>0</v>
      </c>
      <c r="H613" s="10">
        <v>0</v>
      </c>
      <c r="I613" s="216">
        <v>1</v>
      </c>
    </row>
    <row r="614" spans="1:9" x14ac:dyDescent="0.25">
      <c r="A614" s="8">
        <v>2001</v>
      </c>
      <c r="B614" s="10" t="s">
        <v>892</v>
      </c>
      <c r="C614" s="97" t="s">
        <v>1270</v>
      </c>
      <c r="D614" s="214">
        <v>16800</v>
      </c>
      <c r="E614" s="215">
        <f t="shared" si="9"/>
        <v>4</v>
      </c>
      <c r="F614" s="10">
        <v>0</v>
      </c>
      <c r="G614" s="10">
        <v>0</v>
      </c>
      <c r="H614" s="10">
        <v>0</v>
      </c>
      <c r="I614" s="216">
        <v>1</v>
      </c>
    </row>
    <row r="615" spans="1:9" x14ac:dyDescent="0.25">
      <c r="A615" s="8">
        <v>2003</v>
      </c>
      <c r="B615" s="10" t="s">
        <v>892</v>
      </c>
      <c r="C615" s="97" t="s">
        <v>1271</v>
      </c>
      <c r="D615" s="214">
        <v>13988</v>
      </c>
      <c r="E615" s="215">
        <f t="shared" si="9"/>
        <v>2</v>
      </c>
      <c r="F615" s="10">
        <v>0</v>
      </c>
      <c r="G615" s="10">
        <v>0</v>
      </c>
      <c r="H615" s="10">
        <v>0</v>
      </c>
      <c r="I615" s="216">
        <v>1</v>
      </c>
    </row>
    <row r="616" spans="1:9" x14ac:dyDescent="0.25">
      <c r="A616" s="8">
        <v>2002</v>
      </c>
      <c r="B616" s="10" t="s">
        <v>892</v>
      </c>
      <c r="C616" s="97" t="s">
        <v>1271</v>
      </c>
      <c r="D616" s="214">
        <v>10975</v>
      </c>
      <c r="E616" s="215">
        <f t="shared" si="9"/>
        <v>3</v>
      </c>
      <c r="F616" s="10">
        <v>0</v>
      </c>
      <c r="G616" s="10">
        <v>0</v>
      </c>
      <c r="H616" s="10">
        <v>0</v>
      </c>
      <c r="I616" s="216">
        <v>1</v>
      </c>
    </row>
    <row r="617" spans="1:9" x14ac:dyDescent="0.25">
      <c r="A617" s="8">
        <v>2001</v>
      </c>
      <c r="B617" s="10" t="s">
        <v>892</v>
      </c>
      <c r="C617" s="97" t="s">
        <v>1271</v>
      </c>
      <c r="D617" s="214">
        <v>6995</v>
      </c>
      <c r="E617" s="215">
        <f t="shared" si="9"/>
        <v>4</v>
      </c>
      <c r="F617" s="10">
        <v>0</v>
      </c>
      <c r="G617" s="10">
        <v>0</v>
      </c>
      <c r="H617" s="10">
        <v>0</v>
      </c>
      <c r="I617" s="216">
        <v>1</v>
      </c>
    </row>
    <row r="618" spans="1:9" x14ac:dyDescent="0.25">
      <c r="A618" s="8">
        <v>2001</v>
      </c>
      <c r="B618" s="10" t="s">
        <v>892</v>
      </c>
      <c r="C618" s="97" t="s">
        <v>1272</v>
      </c>
      <c r="D618" s="214">
        <v>13995</v>
      </c>
      <c r="E618" s="215">
        <f t="shared" si="9"/>
        <v>4</v>
      </c>
      <c r="F618" s="10">
        <v>0</v>
      </c>
      <c r="G618" s="10">
        <v>0</v>
      </c>
      <c r="H618" s="10">
        <v>0</v>
      </c>
      <c r="I618" s="216">
        <v>1</v>
      </c>
    </row>
    <row r="619" spans="1:9" x14ac:dyDescent="0.25">
      <c r="A619" s="8">
        <v>2003</v>
      </c>
      <c r="B619" s="10" t="s">
        <v>892</v>
      </c>
      <c r="C619" s="97" t="s">
        <v>1273</v>
      </c>
      <c r="D619" s="214">
        <v>12295</v>
      </c>
      <c r="E619" s="215">
        <f t="shared" si="9"/>
        <v>2</v>
      </c>
      <c r="F619" s="10">
        <v>0</v>
      </c>
      <c r="G619" s="10">
        <v>0</v>
      </c>
      <c r="H619" s="10">
        <v>0</v>
      </c>
      <c r="I619" s="216">
        <v>1</v>
      </c>
    </row>
    <row r="620" spans="1:9" x14ac:dyDescent="0.25">
      <c r="A620" s="8">
        <v>2001</v>
      </c>
      <c r="B620" s="10" t="s">
        <v>892</v>
      </c>
      <c r="C620" s="97" t="s">
        <v>1274</v>
      </c>
      <c r="D620" s="214">
        <v>12497</v>
      </c>
      <c r="E620" s="215">
        <f t="shared" si="9"/>
        <v>4</v>
      </c>
      <c r="F620" s="10">
        <v>0</v>
      </c>
      <c r="G620" s="10">
        <v>0</v>
      </c>
      <c r="H620" s="10">
        <v>0</v>
      </c>
      <c r="I620" s="216">
        <v>1</v>
      </c>
    </row>
    <row r="621" spans="1:9" x14ac:dyDescent="0.25">
      <c r="A621" s="8">
        <v>2000</v>
      </c>
      <c r="B621" s="10" t="s">
        <v>892</v>
      </c>
      <c r="C621" s="97" t="s">
        <v>1275</v>
      </c>
      <c r="D621" s="214">
        <v>12995</v>
      </c>
      <c r="E621" s="215">
        <f t="shared" si="9"/>
        <v>5</v>
      </c>
      <c r="F621" s="10">
        <v>0</v>
      </c>
      <c r="G621" s="10">
        <v>0</v>
      </c>
      <c r="H621" s="10">
        <v>0</v>
      </c>
      <c r="I621" s="216">
        <v>1</v>
      </c>
    </row>
    <row r="622" spans="1:9" x14ac:dyDescent="0.25">
      <c r="A622" s="8">
        <v>2002</v>
      </c>
      <c r="B622" s="10" t="s">
        <v>892</v>
      </c>
      <c r="C622" s="97" t="s">
        <v>1276</v>
      </c>
      <c r="D622" s="214">
        <v>13995</v>
      </c>
      <c r="E622" s="215">
        <f t="shared" si="9"/>
        <v>3</v>
      </c>
      <c r="F622" s="10">
        <v>0</v>
      </c>
      <c r="G622" s="10">
        <v>0</v>
      </c>
      <c r="H622" s="10">
        <v>0</v>
      </c>
      <c r="I622" s="216">
        <v>1</v>
      </c>
    </row>
    <row r="623" spans="1:9" x14ac:dyDescent="0.25">
      <c r="A623" s="8">
        <v>2002</v>
      </c>
      <c r="B623" s="10" t="s">
        <v>892</v>
      </c>
      <c r="C623" s="97" t="s">
        <v>1277</v>
      </c>
      <c r="D623" s="214">
        <v>12995</v>
      </c>
      <c r="E623" s="215">
        <f t="shared" si="9"/>
        <v>3</v>
      </c>
      <c r="F623" s="10">
        <v>0</v>
      </c>
      <c r="G623" s="10">
        <v>0</v>
      </c>
      <c r="H623" s="10">
        <v>0</v>
      </c>
      <c r="I623" s="216">
        <v>1</v>
      </c>
    </row>
    <row r="624" spans="1:9" x14ac:dyDescent="0.25">
      <c r="A624" s="8">
        <v>2001</v>
      </c>
      <c r="B624" s="10" t="s">
        <v>892</v>
      </c>
      <c r="C624" s="97" t="s">
        <v>1278</v>
      </c>
      <c r="D624" s="214">
        <v>10997</v>
      </c>
      <c r="E624" s="215">
        <f t="shared" si="9"/>
        <v>4</v>
      </c>
      <c r="F624" s="10">
        <v>0</v>
      </c>
      <c r="G624" s="10">
        <v>0</v>
      </c>
      <c r="H624" s="10">
        <v>0</v>
      </c>
      <c r="I624" s="216">
        <v>1</v>
      </c>
    </row>
    <row r="625" spans="1:9" x14ac:dyDescent="0.25">
      <c r="A625" s="8">
        <v>2002</v>
      </c>
      <c r="B625" s="10" t="s">
        <v>892</v>
      </c>
      <c r="C625" s="97" t="s">
        <v>1279</v>
      </c>
      <c r="D625" s="214">
        <v>15953</v>
      </c>
      <c r="E625" s="215">
        <f t="shared" si="9"/>
        <v>3</v>
      </c>
      <c r="F625" s="10">
        <v>0</v>
      </c>
      <c r="G625" s="10">
        <v>0</v>
      </c>
      <c r="H625" s="10">
        <v>0</v>
      </c>
      <c r="I625" s="216">
        <v>1</v>
      </c>
    </row>
    <row r="626" spans="1:9" x14ac:dyDescent="0.25">
      <c r="A626" s="8">
        <v>2002</v>
      </c>
      <c r="B626" s="10" t="s">
        <v>828</v>
      </c>
      <c r="C626" s="97" t="s">
        <v>1280</v>
      </c>
      <c r="D626" s="214">
        <v>16988</v>
      </c>
      <c r="E626" s="215">
        <f t="shared" si="9"/>
        <v>3</v>
      </c>
      <c r="F626" s="10">
        <v>1</v>
      </c>
      <c r="G626" s="10">
        <v>0</v>
      </c>
      <c r="H626" s="10">
        <v>0</v>
      </c>
      <c r="I626" s="216">
        <v>0</v>
      </c>
    </row>
    <row r="627" spans="1:9" x14ac:dyDescent="0.25">
      <c r="A627" s="8">
        <v>2003</v>
      </c>
      <c r="B627" s="10" t="s">
        <v>828</v>
      </c>
      <c r="C627" s="97" t="s">
        <v>1281</v>
      </c>
      <c r="D627" s="214">
        <v>15973</v>
      </c>
      <c r="E627" s="215">
        <f t="shared" si="9"/>
        <v>2</v>
      </c>
      <c r="F627" s="10">
        <v>0</v>
      </c>
      <c r="G627" s="10">
        <v>1</v>
      </c>
      <c r="H627" s="10">
        <v>0</v>
      </c>
      <c r="I627" s="216">
        <v>0</v>
      </c>
    </row>
    <row r="628" spans="1:9" x14ac:dyDescent="0.25">
      <c r="A628" s="8">
        <v>1999</v>
      </c>
      <c r="B628" s="10" t="s">
        <v>828</v>
      </c>
      <c r="C628" s="97" t="s">
        <v>1282</v>
      </c>
      <c r="D628" s="214">
        <v>8995</v>
      </c>
      <c r="E628" s="215">
        <f t="shared" si="9"/>
        <v>6</v>
      </c>
      <c r="F628" s="10">
        <v>0</v>
      </c>
      <c r="G628" s="10">
        <v>0</v>
      </c>
      <c r="H628" s="10">
        <v>0</v>
      </c>
      <c r="I628" s="216">
        <v>1</v>
      </c>
    </row>
    <row r="629" spans="1:9" x14ac:dyDescent="0.25">
      <c r="A629" s="8">
        <v>1999</v>
      </c>
      <c r="B629" s="10" t="s">
        <v>828</v>
      </c>
      <c r="C629" s="97" t="s">
        <v>1283</v>
      </c>
      <c r="D629" s="214">
        <v>10500</v>
      </c>
      <c r="E629" s="215">
        <f t="shared" si="9"/>
        <v>6</v>
      </c>
      <c r="F629" s="10">
        <v>0</v>
      </c>
      <c r="G629" s="10">
        <v>0</v>
      </c>
      <c r="H629" s="10">
        <v>0</v>
      </c>
      <c r="I629" s="216">
        <v>1</v>
      </c>
    </row>
    <row r="630" spans="1:9" x14ac:dyDescent="0.25">
      <c r="A630" s="8">
        <v>1999</v>
      </c>
      <c r="B630" s="10" t="s">
        <v>828</v>
      </c>
      <c r="C630" s="97" t="s">
        <v>1284</v>
      </c>
      <c r="D630" s="214">
        <v>15995</v>
      </c>
      <c r="E630" s="215">
        <f t="shared" si="9"/>
        <v>6</v>
      </c>
      <c r="F630" s="10">
        <v>0</v>
      </c>
      <c r="G630" s="10">
        <v>1</v>
      </c>
      <c r="H630" s="10">
        <v>0</v>
      </c>
      <c r="I630" s="216">
        <v>0</v>
      </c>
    </row>
    <row r="631" spans="1:9" x14ac:dyDescent="0.25">
      <c r="A631" s="8">
        <v>2000</v>
      </c>
      <c r="B631" s="10" t="s">
        <v>828</v>
      </c>
      <c r="C631" s="97" t="s">
        <v>1285</v>
      </c>
      <c r="D631" s="214">
        <v>15595</v>
      </c>
      <c r="E631" s="215">
        <f t="shared" si="9"/>
        <v>5</v>
      </c>
      <c r="F631" s="10">
        <v>0</v>
      </c>
      <c r="G631" s="10">
        <v>1</v>
      </c>
      <c r="H631" s="10">
        <v>0</v>
      </c>
      <c r="I631" s="216">
        <v>0</v>
      </c>
    </row>
    <row r="632" spans="1:9" x14ac:dyDescent="0.25">
      <c r="A632" s="8">
        <v>2005</v>
      </c>
      <c r="B632" s="10" t="s">
        <v>889</v>
      </c>
      <c r="C632" s="97" t="s">
        <v>1286</v>
      </c>
      <c r="D632" s="214">
        <v>33900</v>
      </c>
      <c r="E632" s="215">
        <f t="shared" si="9"/>
        <v>0</v>
      </c>
      <c r="F632" s="10">
        <v>1</v>
      </c>
      <c r="G632" s="10">
        <v>0</v>
      </c>
      <c r="H632" s="10">
        <v>0</v>
      </c>
      <c r="I632" s="216">
        <v>0</v>
      </c>
    </row>
    <row r="633" spans="1:9" x14ac:dyDescent="0.25">
      <c r="A633" s="8">
        <v>2005</v>
      </c>
      <c r="B633" s="10" t="s">
        <v>889</v>
      </c>
      <c r="C633" s="97" t="s">
        <v>1286</v>
      </c>
      <c r="D633" s="214">
        <v>35995</v>
      </c>
      <c r="E633" s="215">
        <f t="shared" si="9"/>
        <v>0</v>
      </c>
      <c r="F633" s="10">
        <v>1</v>
      </c>
      <c r="G633" s="10">
        <v>0</v>
      </c>
      <c r="H633" s="10">
        <v>0</v>
      </c>
      <c r="I633" s="216">
        <v>0</v>
      </c>
    </row>
    <row r="634" spans="1:9" x14ac:dyDescent="0.25">
      <c r="A634" s="8">
        <v>1999</v>
      </c>
      <c r="B634" s="10" t="s">
        <v>889</v>
      </c>
      <c r="C634" s="97" t="s">
        <v>1287</v>
      </c>
      <c r="D634" s="214">
        <v>8375</v>
      </c>
      <c r="E634" s="215">
        <f t="shared" si="9"/>
        <v>6</v>
      </c>
      <c r="F634" s="10">
        <v>1</v>
      </c>
      <c r="G634" s="10">
        <v>0</v>
      </c>
      <c r="H634" s="10">
        <v>0</v>
      </c>
      <c r="I634" s="216">
        <v>0</v>
      </c>
    </row>
    <row r="635" spans="1:9" x14ac:dyDescent="0.25">
      <c r="A635" s="8">
        <v>2003</v>
      </c>
      <c r="B635" s="10" t="s">
        <v>889</v>
      </c>
      <c r="C635" s="97" t="s">
        <v>1287</v>
      </c>
      <c r="D635" s="214">
        <v>18995</v>
      </c>
      <c r="E635" s="215">
        <f t="shared" si="9"/>
        <v>2</v>
      </c>
      <c r="F635" s="10">
        <v>1</v>
      </c>
      <c r="G635" s="10">
        <v>0</v>
      </c>
      <c r="H635" s="10">
        <v>0</v>
      </c>
      <c r="I635" s="216">
        <v>0</v>
      </c>
    </row>
    <row r="636" spans="1:9" x14ac:dyDescent="0.25">
      <c r="A636" s="8">
        <v>1999</v>
      </c>
      <c r="B636" s="10" t="s">
        <v>889</v>
      </c>
      <c r="C636" s="97" t="s">
        <v>1288</v>
      </c>
      <c r="D636" s="214">
        <v>10995</v>
      </c>
      <c r="E636" s="215">
        <f t="shared" si="9"/>
        <v>6</v>
      </c>
      <c r="F636" s="10">
        <v>1</v>
      </c>
      <c r="G636" s="10">
        <v>0</v>
      </c>
      <c r="H636" s="10">
        <v>0</v>
      </c>
      <c r="I636" s="216">
        <v>0</v>
      </c>
    </row>
    <row r="637" spans="1:9" x14ac:dyDescent="0.25">
      <c r="A637" s="8">
        <v>2004</v>
      </c>
      <c r="B637" s="10" t="s">
        <v>889</v>
      </c>
      <c r="C637" s="97" t="s">
        <v>1289</v>
      </c>
      <c r="D637" s="214">
        <v>22995</v>
      </c>
      <c r="E637" s="215">
        <f t="shared" si="9"/>
        <v>1</v>
      </c>
      <c r="F637" s="10">
        <v>1</v>
      </c>
      <c r="G637" s="10">
        <v>0</v>
      </c>
      <c r="H637" s="10">
        <v>0</v>
      </c>
      <c r="I637" s="216">
        <v>0</v>
      </c>
    </row>
    <row r="638" spans="1:9" x14ac:dyDescent="0.25">
      <c r="A638" s="12">
        <v>2000</v>
      </c>
      <c r="B638" s="14" t="s">
        <v>828</v>
      </c>
      <c r="C638" s="98" t="s">
        <v>1290</v>
      </c>
      <c r="D638" s="218">
        <v>17995</v>
      </c>
      <c r="E638" s="219">
        <f t="shared" si="9"/>
        <v>5</v>
      </c>
      <c r="F638" s="14">
        <v>0</v>
      </c>
      <c r="G638" s="14">
        <v>1</v>
      </c>
      <c r="H638" s="14">
        <v>0</v>
      </c>
      <c r="I638" s="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newhomes</vt:lpstr>
      <vt:lpstr>assessed</vt:lpstr>
      <vt:lpstr>mountainbike</vt:lpstr>
      <vt:lpstr>birthratecountry</vt:lpstr>
      <vt:lpstr>bodyfat</vt:lpstr>
      <vt:lpstr>buglary</vt:lpstr>
      <vt:lpstr>cartheft</vt:lpstr>
      <vt:lpstr>cardata</vt:lpstr>
      <vt:lpstr>graduation</vt:lpstr>
      <vt:lpstr>cruise</vt:lpstr>
      <vt:lpstr>flood</vt:lpstr>
      <vt:lpstr>foreclosure</vt:lpstr>
      <vt:lpstr>lcdtv</vt:lpstr>
      <vt:lpstr>drugprice</vt:lpstr>
      <vt:lpstr>fuel</vt:lpstr>
      <vt:lpstr>moneysupply</vt:lpstr>
      <vt:lpstr>nfl</vt:lpstr>
      <vt:lpstr>apple</vt:lpstr>
      <vt:lpstr>guest</vt:lpstr>
      <vt:lpstr>salary</vt:lpstr>
      <vt:lpstr>sentencing</vt:lpstr>
      <vt:lpstr>vehicles</vt:lpstr>
    </vt:vector>
  </TitlesOfParts>
  <Company>Appalachian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Shishir Shakya</dc:creator>
  <cp:lastModifiedBy>Shishir Shakya</cp:lastModifiedBy>
  <dcterms:created xsi:type="dcterms:W3CDTF">2025-08-27T01:17:37Z</dcterms:created>
  <dcterms:modified xsi:type="dcterms:W3CDTF">2025-08-27T01:33:52Z</dcterms:modified>
</cp:coreProperties>
</file>